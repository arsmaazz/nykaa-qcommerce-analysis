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sma\Desktop\analytics\"/>
    </mc:Choice>
  </mc:AlternateContent>
  <xr:revisionPtr revIDLastSave="0" documentId="13_ncr:1_{D09DA3AF-E2E5-421C-9F68-AF2B1FDC9E3A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Nykaa Face Wash Bestsellers" sheetId="1" r:id="rId1"/>
  </sheets>
  <definedNames>
    <definedName name="_xlnm._FilterDatabase" localSheetId="0" hidden="1">'Nykaa Face Wash Bestsellers'!$A$3:$V$13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3" i="1" l="1"/>
  <c r="O13" i="1"/>
  <c r="N13" i="1"/>
  <c r="H13" i="1"/>
  <c r="G13" i="1"/>
  <c r="H12" i="1"/>
  <c r="G12" i="1"/>
  <c r="T11" i="1"/>
  <c r="O11" i="1"/>
  <c r="N11" i="1"/>
  <c r="H11" i="1"/>
  <c r="G11" i="1"/>
  <c r="O10" i="1"/>
  <c r="N10" i="1"/>
  <c r="H10" i="1"/>
  <c r="G10" i="1"/>
  <c r="T9" i="1"/>
  <c r="H9" i="1"/>
  <c r="G9" i="1"/>
  <c r="T8" i="1"/>
  <c r="O8" i="1"/>
  <c r="N8" i="1"/>
  <c r="H8" i="1"/>
  <c r="G8" i="1"/>
  <c r="T7" i="1"/>
  <c r="O7" i="1"/>
  <c r="N7" i="1"/>
  <c r="H7" i="1"/>
  <c r="G7" i="1"/>
  <c r="T6" i="1"/>
  <c r="H6" i="1"/>
  <c r="G6" i="1"/>
  <c r="T5" i="1"/>
  <c r="H5" i="1"/>
  <c r="G5" i="1"/>
  <c r="T4" i="1"/>
  <c r="O4" i="1"/>
  <c r="N4" i="1"/>
  <c r="H4" i="1"/>
  <c r="G4" i="1"/>
</calcChain>
</file>

<file path=xl/sharedStrings.xml><?xml version="1.0" encoding="utf-8"?>
<sst xmlns="http://schemas.openxmlformats.org/spreadsheetml/2006/main" count="119" uniqueCount="75">
  <si>
    <t>NYKAA BEAUTY  |  TOP 10 FACE WASH BESTSELLERS  —  COMPETITIVE PRICE TRACKER  (Ranked by Nykaa Review Count)</t>
  </si>
  <si>
    <t>PRODUCT INFO</t>
  </si>
  <si>
    <t>NYKAA</t>
  </si>
  <si>
    <t>BLINKIT</t>
  </si>
  <si>
    <t>ZEPTO</t>
  </si>
  <si>
    <t>ANALYSIS</t>
  </si>
  <si>
    <t>Product Name</t>
  </si>
  <si>
    <t>Brand</t>
  </si>
  <si>
    <t>Category</t>
  </si>
  <si>
    <t>Nykaa
Size (ml)</t>
  </si>
  <si>
    <t>Nykaa
MRP (₹)</t>
  </si>
  <si>
    <t>Nykaa
Price (₹)</t>
  </si>
  <si>
    <t>Nykaa
Disc %</t>
  </si>
  <si>
    <t>Nykaa
₹ / ml</t>
  </si>
  <si>
    <t>Nykaa Rating
(Reviews)</t>
  </si>
  <si>
    <t>Blinkit
Available</t>
  </si>
  <si>
    <t>Blinkit
Size (ml)</t>
  </si>
  <si>
    <t>Blinkit
MRP (₹)</t>
  </si>
  <si>
    <t>Blinkit
Price (₹)</t>
  </si>
  <si>
    <t>Blinkit
Disc %</t>
  </si>
  <si>
    <t>Blinkit
₹ / ml</t>
  </si>
  <si>
    <t>Zepto
Available</t>
  </si>
  <si>
    <t>Zepto
Size (ml)</t>
  </si>
  <si>
    <t>Zepto
MRP (₹)</t>
  </si>
  <si>
    <t>Zepto
Price (₹)</t>
  </si>
  <si>
    <t>Zepto
Disc %</t>
  </si>
  <si>
    <t>Best Price
Platform</t>
  </si>
  <si>
    <t>Purchase
Consideration</t>
  </si>
  <si>
    <t>#1  Cetaphil Gentle Skin Cleanser</t>
  </si>
  <si>
    <t>Cetaphil</t>
  </si>
  <si>
    <t>Gentle / Sensitive</t>
  </si>
  <si>
    <t>4.5 ★  (3,81,882)</t>
  </si>
  <si>
    <t>✅ Yes</t>
  </si>
  <si>
    <t>Nykaa</t>
  </si>
  <si>
    <t>Low</t>
  </si>
  <si>
    <t>#2  Garnier Skin Naturals Micellar Oil-Infused Cleansing Water</t>
  </si>
  <si>
    <t>Garnier</t>
  </si>
  <si>
    <t>Micellar Water</t>
  </si>
  <si>
    <t>4.4 ★  (2,71,890)</t>
  </si>
  <si>
    <t>❌ No</t>
  </si>
  <si>
    <t>—</t>
  </si>
  <si>
    <t>#3  Simple Kind to Skin Refreshing Facial Wash</t>
  </si>
  <si>
    <t>Simple</t>
  </si>
  <si>
    <t>All Skin Types</t>
  </si>
  <si>
    <t>4.3 ★  (1,86,764)</t>
  </si>
  <si>
    <t>#4  Minimalist 2% Salicylic Acid + LHA Face Cleanser</t>
  </si>
  <si>
    <t>Minimalist</t>
  </si>
  <si>
    <t>Acne / Oily Skin</t>
  </si>
  <si>
    <t>4.4 ★  (1,24,027)</t>
  </si>
  <si>
    <t>Zepto</t>
  </si>
  <si>
    <t>#5  Cetaphil Oily Skin Cleanser</t>
  </si>
  <si>
    <t>Oily / Sensitive</t>
  </si>
  <si>
    <t>4.4 ★  (84,579)</t>
  </si>
  <si>
    <t>Blinkit</t>
  </si>
  <si>
    <t>High</t>
  </si>
  <si>
    <t>#6  Dot &amp; Key Barrier Repair + Hydrating Gentle Face Wash</t>
  </si>
  <si>
    <t>Dot &amp; Key</t>
  </si>
  <si>
    <t>Hydrating / Barrier</t>
  </si>
  <si>
    <t>4.3 ★  (59,150)</t>
  </si>
  <si>
    <t>#7  The Face Shop Rice Water Bright Foaming Cleanser</t>
  </si>
  <si>
    <t>The Face Shop</t>
  </si>
  <si>
    <t>Brightening</t>
  </si>
  <si>
    <t>4.4 ★  (46,573)</t>
  </si>
  <si>
    <t>#8  CeraVe Hydrating Cleanser Non-Foaming</t>
  </si>
  <si>
    <t>CeraVe</t>
  </si>
  <si>
    <t>Dry / Normal Skin</t>
  </si>
  <si>
    <t>4.5 ★  (41,812)</t>
  </si>
  <si>
    <t>#9  The Derma Co 2% Salicylic Acid Anti-Acne Face Wash</t>
  </si>
  <si>
    <t>The Derma Co</t>
  </si>
  <si>
    <t>Active Acne</t>
  </si>
  <si>
    <t>4.3 ★  (22,287)</t>
  </si>
  <si>
    <t>#10  CeraVe Foaming Cleanser for Oily Skin</t>
  </si>
  <si>
    <t>Oily / Normal Skin</t>
  </si>
  <si>
    <t>4.5 ★  (22,152)</t>
  </si>
  <si>
    <t>📌  Sources: Nykaa.com · Blinkit.com · Zepto.com  |  Ranked by Nykaa Review Count  |  Prices &amp; availability verified July 2026  |  Blinkit/Zepto sizes may differ from Nykaa  |  Purchase Consideration: High = premium (₹600+), Low = budget/everyday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</si>
</sst>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ml&quot;"/>
    <numFmt numFmtId="165" formatCode="\₹#,##0"/>
    <numFmt numFmtId="166" formatCode="0.0\%"/>
    <numFmt numFmtId="167" formatCode="\₹#,##0.00&quot;/ ml&quot;"/>
  </numFmts>
  <fonts count="19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1A1A1A"/>
      <name val="Arial"/>
      <charset val="1"/>
    </font>
    <font>
      <sz val="8"/>
      <color rgb="FF333333"/>
      <name val="Arial"/>
      <charset val="1"/>
    </font>
    <font>
      <sz val="8"/>
      <color rgb="FF555555"/>
      <name val="Arial"/>
      <charset val="1"/>
    </font>
    <font>
      <sz val="8"/>
      <color rgb="FF880044"/>
      <name val="Arial"/>
      <charset val="1"/>
    </font>
    <font>
      <sz val="8"/>
      <color rgb="FFFFFFFF"/>
      <name val="Arial"/>
      <charset val="1"/>
    </font>
    <font>
      <b/>
      <sz val="8"/>
      <color rgb="FF880044"/>
      <name val="Arial"/>
      <charset val="1"/>
    </font>
    <font>
      <sz val="8"/>
      <color rgb="FF2E7D32"/>
      <name val="Arial"/>
      <charset val="1"/>
    </font>
    <font>
      <b/>
      <sz val="8"/>
      <color rgb="FFBF360C"/>
      <name val="Arial"/>
      <charset val="1"/>
    </font>
    <font>
      <b/>
      <sz val="8"/>
      <color rgb="FF6A1B9A"/>
      <name val="Arial"/>
      <charset val="1"/>
    </font>
    <font>
      <b/>
      <sz val="8"/>
      <color rgb="FF1565C0"/>
      <name val="Arial"/>
      <charset val="1"/>
    </font>
    <font>
      <b/>
      <sz val="8"/>
      <color rgb="FFC62828"/>
      <name val="Arial"/>
      <charset val="1"/>
    </font>
    <font>
      <sz val="8"/>
      <color rgb="FF888888"/>
      <name val="Arial"/>
      <charset val="1"/>
    </font>
    <font>
      <sz val="8"/>
      <color rgb="FF999999"/>
      <name val="Arial"/>
      <charset val="1"/>
    </font>
    <font>
      <b/>
      <sz val="8"/>
      <color rgb="FF2E7D32"/>
      <name val="Arial"/>
      <charset val="1"/>
    </font>
    <font>
      <i/>
      <sz val="7"/>
      <color rgb="FF888888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B6006B"/>
        <bgColor rgb="FFD81B60"/>
      </patternFill>
    </fill>
    <fill>
      <patternFill patternType="solid">
        <fgColor rgb="FF37474F"/>
        <bgColor rgb="FF333333"/>
      </patternFill>
    </fill>
    <fill>
      <patternFill patternType="solid">
        <fgColor rgb="FFD81B60"/>
        <bgColor rgb="FFC62828"/>
      </patternFill>
    </fill>
    <fill>
      <patternFill patternType="solid">
        <fgColor rgb="FFFF6F00"/>
        <bgColor rgb="FFFF9900"/>
      </patternFill>
    </fill>
    <fill>
      <patternFill patternType="solid">
        <fgColor rgb="FF6A1B9A"/>
        <bgColor rgb="FF880044"/>
      </patternFill>
    </fill>
    <fill>
      <patternFill patternType="solid">
        <fgColor rgb="FF263238"/>
        <bgColor rgb="FF333333"/>
      </patternFill>
    </fill>
    <fill>
      <patternFill patternType="solid">
        <fgColor rgb="FFFFF0F5"/>
        <bgColor rgb="FFF5F5F5"/>
      </patternFill>
    </fill>
    <fill>
      <patternFill patternType="solid">
        <fgColor rgb="FFFFF9FC"/>
        <bgColor rgb="FFFAFAFA"/>
      </patternFill>
    </fill>
    <fill>
      <patternFill patternType="solid">
        <fgColor rgb="FFF8E4EF"/>
        <bgColor rgb="FFFCE4EC"/>
      </patternFill>
    </fill>
    <fill>
      <patternFill patternType="solid">
        <fgColor rgb="FFFFFDE7"/>
        <bgColor rgb="FFFAFAFA"/>
      </patternFill>
    </fill>
    <fill>
      <patternFill patternType="solid">
        <fgColor rgb="FFFFF3D0"/>
        <bgColor rgb="FFFFFDE7"/>
      </patternFill>
    </fill>
    <fill>
      <patternFill patternType="solid">
        <fgColor rgb="FFF3E5F5"/>
        <bgColor rgb="FFF8E4EF"/>
      </patternFill>
    </fill>
    <fill>
      <patternFill patternType="solid">
        <fgColor rgb="FFF0F4FF"/>
        <bgColor rgb="FFF5F5F5"/>
      </patternFill>
    </fill>
    <fill>
      <patternFill patternType="solid">
        <fgColor rgb="FFFCE4EC"/>
        <bgColor rgb="FFF8E4EF"/>
      </patternFill>
    </fill>
    <fill>
      <patternFill patternType="solid">
        <fgColor rgb="FFF5F5F5"/>
        <bgColor rgb="FFF9F9F9"/>
      </patternFill>
    </fill>
    <fill>
      <patternFill patternType="solid">
        <fgColor rgb="FFFAFAFA"/>
        <bgColor rgb="FFF9F9F9"/>
      </patternFill>
    </fill>
    <fill>
      <patternFill patternType="solid">
        <fgColor rgb="FFE8F5E9"/>
        <bgColor rgb="FFF5F5F5"/>
      </patternFill>
    </fill>
    <fill>
      <patternFill patternType="solid">
        <fgColor rgb="FFF9F9F9"/>
        <bgColor rgb="FFFAFAFA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8" fillId="19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164" fontId="7" fillId="9" borderId="2" xfId="0" applyNumberFormat="1" applyFont="1" applyFill="1" applyBorder="1" applyAlignment="1">
      <alignment horizontal="center" vertical="center" wrapText="1"/>
    </xf>
    <xf numFmtId="165" fontId="8" fillId="9" borderId="2" xfId="0" applyNumberFormat="1" applyFont="1" applyFill="1" applyBorder="1" applyAlignment="1">
      <alignment horizontal="center" vertical="center" wrapText="1"/>
    </xf>
    <xf numFmtId="165" fontId="9" fillId="9" borderId="2" xfId="0" applyNumberFormat="1" applyFont="1" applyFill="1" applyBorder="1" applyAlignment="1">
      <alignment horizontal="center" vertical="center" wrapText="1"/>
    </xf>
    <xf numFmtId="166" fontId="10" fillId="9" borderId="2" xfId="0" applyNumberFormat="1" applyFont="1" applyFill="1" applyBorder="1" applyAlignment="1">
      <alignment horizontal="center" vertical="center" wrapText="1"/>
    </xf>
    <xf numFmtId="167" fontId="9" fillId="10" borderId="2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164" fontId="8" fillId="11" borderId="2" xfId="0" applyNumberFormat="1" applyFont="1" applyFill="1" applyBorder="1" applyAlignment="1">
      <alignment horizontal="center" vertical="center" wrapText="1"/>
    </xf>
    <xf numFmtId="165" fontId="8" fillId="11" borderId="2" xfId="0" applyNumberFormat="1" applyFont="1" applyFill="1" applyBorder="1" applyAlignment="1">
      <alignment horizontal="center" vertical="center" wrapText="1"/>
    </xf>
    <xf numFmtId="165" fontId="11" fillId="11" borderId="2" xfId="0" applyNumberFormat="1" applyFont="1" applyFill="1" applyBorder="1" applyAlignment="1">
      <alignment horizontal="center" vertical="center" wrapText="1"/>
    </xf>
    <xf numFmtId="166" fontId="10" fillId="11" borderId="2" xfId="0" applyNumberFormat="1" applyFont="1" applyFill="1" applyBorder="1" applyAlignment="1">
      <alignment horizontal="center" vertical="center" wrapText="1"/>
    </xf>
    <xf numFmtId="167" fontId="11" fillId="12" borderId="2" xfId="0" applyNumberFormat="1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164" fontId="8" fillId="13" borderId="2" xfId="0" applyNumberFormat="1" applyFont="1" applyFill="1" applyBorder="1" applyAlignment="1">
      <alignment horizontal="center" vertical="center" wrapText="1"/>
    </xf>
    <xf numFmtId="165" fontId="8" fillId="13" borderId="2" xfId="0" applyNumberFormat="1" applyFont="1" applyFill="1" applyBorder="1" applyAlignment="1">
      <alignment horizontal="center" vertical="center" wrapText="1"/>
    </xf>
    <xf numFmtId="165" fontId="12" fillId="13" borderId="2" xfId="0" applyNumberFormat="1" applyFont="1" applyFill="1" applyBorder="1" applyAlignment="1">
      <alignment horizontal="center" vertical="center" wrapText="1"/>
    </xf>
    <xf numFmtId="166" fontId="10" fillId="13" borderId="2" xfId="0" applyNumberFormat="1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15" fillId="17" borderId="2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80044"/>
      <rgbColor rgb="FF008080"/>
      <rgbColor rgb="FFCCCCCC"/>
      <rgbColor rgb="FF888888"/>
      <rgbColor rgb="FF9999FF"/>
      <rgbColor rgb="FFC62828"/>
      <rgbColor rgb="FFFFFDE7"/>
      <rgbColor rgb="FFE8F5E9"/>
      <rgbColor rgb="FFB6006B"/>
      <rgbColor rgb="FFFF8080"/>
      <rgbColor rgb="FF1565C0"/>
      <rgbColor rgb="FFF3E5F5"/>
      <rgbColor rgb="FF000080"/>
      <rgbColor rgb="FFFF00FF"/>
      <rgbColor rgb="FFFFF9FC"/>
      <rgbColor rgb="FF00FFFF"/>
      <rgbColor rgb="FF6A1B9A"/>
      <rgbColor rgb="FF800000"/>
      <rgbColor rgb="FF008080"/>
      <rgbColor rgb="FF0000FF"/>
      <rgbColor rgb="FF00CCFF"/>
      <rgbColor rgb="FFF0F4FF"/>
      <rgbColor rgb="FFF5F5F5"/>
      <rgbColor rgb="FFFFF3D0"/>
      <rgbColor rgb="FFF8E4EF"/>
      <rgbColor rgb="FFFFF0F5"/>
      <rgbColor rgb="FFF9F9F9"/>
      <rgbColor rgb="FFFCE4EC"/>
      <rgbColor rgb="FF3366FF"/>
      <rgbColor rgb="FF33CCCC"/>
      <rgbColor rgb="FF99CC00"/>
      <rgbColor rgb="FFFFCC00"/>
      <rgbColor rgb="FFFF9900"/>
      <rgbColor rgb="FFFF6F00"/>
      <rgbColor rgb="FF555555"/>
      <rgbColor rgb="FF999999"/>
      <rgbColor rgb="FF003366"/>
      <rgbColor rgb="FF2E7D32"/>
      <rgbColor rgb="FF1A1A1A"/>
      <rgbColor rgb="FF263238"/>
      <rgbColor rgb="FFBF360C"/>
      <rgbColor rgb="FFD81B60"/>
      <rgbColor rgb="FF37474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zoomScaleNormal="100" workbookViewId="0">
      <pane xSplit="3" ySplit="3" topLeftCell="P4" activePane="bottomRight" state="frozen"/>
      <selection pane="topRight" activeCell="D1" sqref="D1"/>
      <selection pane="bottomLeft" activeCell="A4" sqref="A4"/>
      <selection pane="bottomRight" activeCell="V12" sqref="V12:V13"/>
    </sheetView>
  </sheetViews>
  <sheetFormatPr defaultColWidth="8.7109375" defaultRowHeight="15" x14ac:dyDescent="0.25"/>
  <cols>
    <col min="1" max="1" width="36" customWidth="1"/>
    <col min="2" max="2" width="13" customWidth="1"/>
    <col min="3" max="3" width="18" customWidth="1"/>
    <col min="4" max="6" width="11" customWidth="1"/>
    <col min="7" max="7" width="9" customWidth="1"/>
    <col min="8" max="8" width="13" customWidth="1"/>
    <col min="9" max="9" width="17" customWidth="1"/>
    <col min="10" max="10" width="10" customWidth="1"/>
    <col min="11" max="13" width="11" customWidth="1"/>
    <col min="14" max="14" width="9" customWidth="1"/>
    <col min="15" max="15" width="14" customWidth="1"/>
    <col min="16" max="16" width="10" customWidth="1"/>
    <col min="17" max="19" width="11" customWidth="1"/>
    <col min="20" max="20" width="9" customWidth="1"/>
    <col min="21" max="21" width="13" customWidth="1"/>
    <col min="22" max="22" width="14" customWidth="1"/>
  </cols>
  <sheetData>
    <row r="1" spans="1:22" ht="27.7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9.5" customHeight="1" x14ac:dyDescent="0.25">
      <c r="A2" s="6" t="s">
        <v>1</v>
      </c>
      <c r="B2" s="6"/>
      <c r="C2" s="6"/>
      <c r="D2" s="5" t="s">
        <v>2</v>
      </c>
      <c r="E2" s="5"/>
      <c r="F2" s="5"/>
      <c r="G2" s="5"/>
      <c r="H2" s="5"/>
      <c r="I2" s="5"/>
      <c r="J2" s="4" t="s">
        <v>3</v>
      </c>
      <c r="K2" s="4"/>
      <c r="L2" s="4"/>
      <c r="M2" s="4"/>
      <c r="N2" s="4"/>
      <c r="O2" s="4"/>
      <c r="P2" s="3" t="s">
        <v>4</v>
      </c>
      <c r="Q2" s="3"/>
      <c r="R2" s="3"/>
      <c r="S2" s="3"/>
      <c r="T2" s="3"/>
      <c r="U2" s="2" t="s">
        <v>5</v>
      </c>
      <c r="V2" s="2"/>
    </row>
    <row r="3" spans="1:22" ht="33.75" customHeight="1" x14ac:dyDescent="0.25">
      <c r="A3" s="8" t="s">
        <v>6</v>
      </c>
      <c r="B3" s="8" t="s">
        <v>7</v>
      </c>
      <c r="C3" s="8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10" t="s">
        <v>15</v>
      </c>
      <c r="K3" s="10" t="s">
        <v>16</v>
      </c>
      <c r="L3" s="10" t="s">
        <v>17</v>
      </c>
      <c r="M3" s="10" t="s">
        <v>18</v>
      </c>
      <c r="N3" s="10" t="s">
        <v>19</v>
      </c>
      <c r="O3" s="10" t="s">
        <v>20</v>
      </c>
      <c r="P3" s="11" t="s">
        <v>21</v>
      </c>
      <c r="Q3" s="11" t="s">
        <v>22</v>
      </c>
      <c r="R3" s="11" t="s">
        <v>23</v>
      </c>
      <c r="S3" s="11" t="s">
        <v>24</v>
      </c>
      <c r="T3" s="11" t="s">
        <v>25</v>
      </c>
      <c r="U3" s="12" t="s">
        <v>26</v>
      </c>
      <c r="V3" s="12" t="s">
        <v>27</v>
      </c>
    </row>
    <row r="4" spans="1:22" ht="33.75" customHeight="1" x14ac:dyDescent="0.25">
      <c r="A4" s="13" t="s">
        <v>28</v>
      </c>
      <c r="B4" s="14" t="s">
        <v>29</v>
      </c>
      <c r="C4" s="15" t="s">
        <v>30</v>
      </c>
      <c r="D4" s="16">
        <v>125</v>
      </c>
      <c r="E4" s="17">
        <v>459</v>
      </c>
      <c r="F4" s="18">
        <v>418</v>
      </c>
      <c r="G4" s="19">
        <f t="shared" ref="G4:G13" si="0">ROUND((1-F4/E4)*100,1)</f>
        <v>8.9</v>
      </c>
      <c r="H4" s="20">
        <f t="shared" ref="H4:H13" si="1">ROUND(F4/D4,2)</f>
        <v>3.34</v>
      </c>
      <c r="I4" s="21" t="s">
        <v>31</v>
      </c>
      <c r="J4" s="22" t="s">
        <v>32</v>
      </c>
      <c r="K4" s="23">
        <v>118</v>
      </c>
      <c r="L4" s="24">
        <v>459</v>
      </c>
      <c r="M4" s="25">
        <v>418</v>
      </c>
      <c r="N4" s="26">
        <f>ROUND((1-M4/L4)*100,1)</f>
        <v>8.9</v>
      </c>
      <c r="O4" s="27">
        <f>ROUND(M4/K4,2)</f>
        <v>3.54</v>
      </c>
      <c r="P4" s="28" t="s">
        <v>32</v>
      </c>
      <c r="Q4" s="29">
        <v>118</v>
      </c>
      <c r="R4" s="30">
        <v>459</v>
      </c>
      <c r="S4" s="31">
        <v>422</v>
      </c>
      <c r="T4" s="32">
        <f t="shared" ref="T4:T9" si="2">ROUND((1-S4/R4)*100,1)</f>
        <v>8.1</v>
      </c>
      <c r="U4" s="33" t="s">
        <v>33</v>
      </c>
      <c r="V4" s="34" t="s">
        <v>34</v>
      </c>
    </row>
    <row r="5" spans="1:22" ht="33.75" customHeight="1" x14ac:dyDescent="0.25">
      <c r="A5" s="35" t="s">
        <v>35</v>
      </c>
      <c r="B5" s="36" t="s">
        <v>36</v>
      </c>
      <c r="C5" s="37" t="s">
        <v>37</v>
      </c>
      <c r="D5" s="16">
        <v>400</v>
      </c>
      <c r="E5" s="17">
        <v>499</v>
      </c>
      <c r="F5" s="18">
        <v>449</v>
      </c>
      <c r="G5" s="19">
        <f t="shared" si="0"/>
        <v>10</v>
      </c>
      <c r="H5" s="20">
        <f t="shared" si="1"/>
        <v>1.1200000000000001</v>
      </c>
      <c r="I5" s="21" t="s">
        <v>38</v>
      </c>
      <c r="J5" s="38" t="s">
        <v>39</v>
      </c>
      <c r="K5" s="38"/>
      <c r="L5" s="38"/>
      <c r="M5" s="39"/>
      <c r="N5" s="40" t="s">
        <v>40</v>
      </c>
      <c r="O5" s="41" t="s">
        <v>40</v>
      </c>
      <c r="P5" s="28" t="s">
        <v>32</v>
      </c>
      <c r="Q5" s="29">
        <v>400</v>
      </c>
      <c r="R5" s="30">
        <v>499</v>
      </c>
      <c r="S5" s="31">
        <v>449</v>
      </c>
      <c r="T5" s="32">
        <f t="shared" si="2"/>
        <v>10</v>
      </c>
      <c r="U5" s="33" t="s">
        <v>33</v>
      </c>
      <c r="V5" s="34" t="s">
        <v>34</v>
      </c>
    </row>
    <row r="6" spans="1:22" ht="33.75" customHeight="1" x14ac:dyDescent="0.25">
      <c r="A6" s="13" t="s">
        <v>41</v>
      </c>
      <c r="B6" s="14" t="s">
        <v>42</v>
      </c>
      <c r="C6" s="15" t="s">
        <v>43</v>
      </c>
      <c r="D6" s="16">
        <v>150</v>
      </c>
      <c r="E6" s="17">
        <v>450</v>
      </c>
      <c r="F6" s="18">
        <v>405</v>
      </c>
      <c r="G6" s="19">
        <f t="shared" si="0"/>
        <v>10</v>
      </c>
      <c r="H6" s="20">
        <f t="shared" si="1"/>
        <v>2.7</v>
      </c>
      <c r="I6" s="21" t="s">
        <v>44</v>
      </c>
      <c r="J6" s="38" t="s">
        <v>39</v>
      </c>
      <c r="K6" s="38"/>
      <c r="L6" s="38"/>
      <c r="M6" s="39"/>
      <c r="N6" s="40" t="s">
        <v>40</v>
      </c>
      <c r="O6" s="41" t="s">
        <v>40</v>
      </c>
      <c r="P6" s="28" t="s">
        <v>32</v>
      </c>
      <c r="Q6" s="29">
        <v>150</v>
      </c>
      <c r="R6" s="30">
        <v>450</v>
      </c>
      <c r="S6" s="31">
        <v>427</v>
      </c>
      <c r="T6" s="32">
        <f t="shared" si="2"/>
        <v>5.0999999999999996</v>
      </c>
      <c r="U6" s="33" t="s">
        <v>33</v>
      </c>
      <c r="V6" s="34" t="s">
        <v>34</v>
      </c>
    </row>
    <row r="7" spans="1:22" ht="33.75" customHeight="1" x14ac:dyDescent="0.25">
      <c r="A7" s="35" t="s">
        <v>45</v>
      </c>
      <c r="B7" s="36" t="s">
        <v>46</v>
      </c>
      <c r="C7" s="37" t="s">
        <v>47</v>
      </c>
      <c r="D7" s="16">
        <v>100</v>
      </c>
      <c r="E7" s="17">
        <v>299</v>
      </c>
      <c r="F7" s="18">
        <v>284</v>
      </c>
      <c r="G7" s="19">
        <f t="shared" si="0"/>
        <v>5</v>
      </c>
      <c r="H7" s="20">
        <f t="shared" si="1"/>
        <v>2.84</v>
      </c>
      <c r="I7" s="21" t="s">
        <v>48</v>
      </c>
      <c r="J7" s="22" t="s">
        <v>32</v>
      </c>
      <c r="K7" s="23">
        <v>100</v>
      </c>
      <c r="L7" s="24">
        <v>299</v>
      </c>
      <c r="M7" s="25">
        <v>285</v>
      </c>
      <c r="N7" s="26">
        <f>ROUND((1-M7/L7)*100,1)</f>
        <v>4.7</v>
      </c>
      <c r="O7" s="27">
        <f>ROUND(M7/K7,2)</f>
        <v>2.85</v>
      </c>
      <c r="P7" s="28" t="s">
        <v>32</v>
      </c>
      <c r="Q7" s="29">
        <v>100</v>
      </c>
      <c r="R7" s="30">
        <v>299</v>
      </c>
      <c r="S7" s="31">
        <v>269</v>
      </c>
      <c r="T7" s="32">
        <f t="shared" si="2"/>
        <v>10</v>
      </c>
      <c r="U7" s="33" t="s">
        <v>49</v>
      </c>
      <c r="V7" s="34" t="s">
        <v>34</v>
      </c>
    </row>
    <row r="8" spans="1:22" ht="33.75" customHeight="1" x14ac:dyDescent="0.25">
      <c r="A8" s="13" t="s">
        <v>50</v>
      </c>
      <c r="B8" s="14" t="s">
        <v>29</v>
      </c>
      <c r="C8" s="15" t="s">
        <v>51</v>
      </c>
      <c r="D8" s="16">
        <v>125</v>
      </c>
      <c r="E8" s="17">
        <v>749</v>
      </c>
      <c r="F8" s="18">
        <v>674</v>
      </c>
      <c r="G8" s="19">
        <f t="shared" si="0"/>
        <v>10</v>
      </c>
      <c r="H8" s="20">
        <f t="shared" si="1"/>
        <v>5.39</v>
      </c>
      <c r="I8" s="21" t="s">
        <v>52</v>
      </c>
      <c r="J8" s="22" t="s">
        <v>32</v>
      </c>
      <c r="K8" s="23">
        <v>118</v>
      </c>
      <c r="L8" s="24">
        <v>749</v>
      </c>
      <c r="M8" s="25">
        <v>660</v>
      </c>
      <c r="N8" s="26">
        <f>ROUND((1-M8/L8)*100,1)</f>
        <v>11.9</v>
      </c>
      <c r="O8" s="27">
        <f>ROUND(M8/K8,2)</f>
        <v>5.59</v>
      </c>
      <c r="P8" s="28" t="s">
        <v>32</v>
      </c>
      <c r="Q8" s="29">
        <v>118</v>
      </c>
      <c r="R8" s="30">
        <v>749</v>
      </c>
      <c r="S8" s="31">
        <v>712</v>
      </c>
      <c r="T8" s="32">
        <f t="shared" si="2"/>
        <v>4.9000000000000004</v>
      </c>
      <c r="U8" s="33" t="s">
        <v>53</v>
      </c>
      <c r="V8" s="34" t="s">
        <v>34</v>
      </c>
    </row>
    <row r="9" spans="1:22" ht="33.75" customHeight="1" x14ac:dyDescent="0.25">
      <c r="A9" s="35" t="s">
        <v>55</v>
      </c>
      <c r="B9" s="36" t="s">
        <v>56</v>
      </c>
      <c r="C9" s="37" t="s">
        <v>57</v>
      </c>
      <c r="D9" s="16">
        <v>100</v>
      </c>
      <c r="E9" s="17">
        <v>249</v>
      </c>
      <c r="F9" s="18">
        <v>224</v>
      </c>
      <c r="G9" s="19">
        <f t="shared" si="0"/>
        <v>10</v>
      </c>
      <c r="H9" s="20">
        <f t="shared" si="1"/>
        <v>2.2400000000000002</v>
      </c>
      <c r="I9" s="21" t="s">
        <v>58</v>
      </c>
      <c r="J9" s="38" t="s">
        <v>39</v>
      </c>
      <c r="K9" s="38"/>
      <c r="L9" s="38"/>
      <c r="M9" s="39"/>
      <c r="N9" s="40" t="s">
        <v>40</v>
      </c>
      <c r="O9" s="41" t="s">
        <v>40</v>
      </c>
      <c r="P9" s="28" t="s">
        <v>32</v>
      </c>
      <c r="Q9" s="29">
        <v>100</v>
      </c>
      <c r="R9" s="30">
        <v>249</v>
      </c>
      <c r="S9" s="31">
        <v>224</v>
      </c>
      <c r="T9" s="32">
        <f t="shared" si="2"/>
        <v>10</v>
      </c>
      <c r="U9" s="33" t="s">
        <v>33</v>
      </c>
      <c r="V9" s="34" t="s">
        <v>34</v>
      </c>
    </row>
    <row r="10" spans="1:22" ht="33.75" customHeight="1" x14ac:dyDescent="0.25">
      <c r="A10" s="13" t="s">
        <v>59</v>
      </c>
      <c r="B10" s="14" t="s">
        <v>60</v>
      </c>
      <c r="C10" s="15" t="s">
        <v>61</v>
      </c>
      <c r="D10" s="16">
        <v>150</v>
      </c>
      <c r="E10" s="17">
        <v>899</v>
      </c>
      <c r="F10" s="18">
        <v>854</v>
      </c>
      <c r="G10" s="19">
        <f t="shared" si="0"/>
        <v>5</v>
      </c>
      <c r="H10" s="20">
        <f t="shared" si="1"/>
        <v>5.69</v>
      </c>
      <c r="I10" s="21" t="s">
        <v>62</v>
      </c>
      <c r="J10" s="22" t="s">
        <v>32</v>
      </c>
      <c r="K10" s="23">
        <v>100</v>
      </c>
      <c r="L10" s="24">
        <v>625</v>
      </c>
      <c r="M10" s="25">
        <v>607</v>
      </c>
      <c r="N10" s="26">
        <f>ROUND((1-M10/L10)*100,1)</f>
        <v>2.9</v>
      </c>
      <c r="O10" s="27">
        <f>ROUND(M10/K10,2)</f>
        <v>6.07</v>
      </c>
      <c r="P10" s="38" t="s">
        <v>39</v>
      </c>
      <c r="Q10" s="38"/>
      <c r="R10" s="38"/>
      <c r="S10" s="39"/>
      <c r="T10" s="40" t="s">
        <v>40</v>
      </c>
      <c r="U10" s="33" t="s">
        <v>53</v>
      </c>
      <c r="V10" s="42" t="s">
        <v>54</v>
      </c>
    </row>
    <row r="11" spans="1:22" ht="33.75" customHeight="1" x14ac:dyDescent="0.25">
      <c r="A11" s="35" t="s">
        <v>63</v>
      </c>
      <c r="B11" s="36" t="s">
        <v>64</v>
      </c>
      <c r="C11" s="37" t="s">
        <v>65</v>
      </c>
      <c r="D11" s="16">
        <v>88</v>
      </c>
      <c r="E11" s="17">
        <v>330</v>
      </c>
      <c r="F11" s="18">
        <v>297</v>
      </c>
      <c r="G11" s="19">
        <f t="shared" si="0"/>
        <v>10</v>
      </c>
      <c r="H11" s="20">
        <f t="shared" si="1"/>
        <v>3.38</v>
      </c>
      <c r="I11" s="21" t="s">
        <v>66</v>
      </c>
      <c r="J11" s="22" t="s">
        <v>32</v>
      </c>
      <c r="K11" s="23">
        <v>88</v>
      </c>
      <c r="L11" s="24">
        <v>330</v>
      </c>
      <c r="M11" s="25">
        <v>297</v>
      </c>
      <c r="N11" s="26">
        <f>ROUND((1-M11/L11)*100,1)</f>
        <v>10</v>
      </c>
      <c r="O11" s="27">
        <f>ROUND(M11/K11,2)</f>
        <v>3.38</v>
      </c>
      <c r="P11" s="28" t="s">
        <v>32</v>
      </c>
      <c r="Q11" s="29">
        <v>88</v>
      </c>
      <c r="R11" s="30">
        <v>330</v>
      </c>
      <c r="S11" s="31">
        <v>314</v>
      </c>
      <c r="T11" s="32">
        <f>ROUND((1-S11/R11)*100,1)</f>
        <v>4.8</v>
      </c>
      <c r="U11" s="33" t="s">
        <v>33</v>
      </c>
      <c r="V11" s="34" t="s">
        <v>34</v>
      </c>
    </row>
    <row r="12" spans="1:22" ht="33.75" customHeight="1" x14ac:dyDescent="0.25">
      <c r="A12" s="13" t="s">
        <v>67</v>
      </c>
      <c r="B12" s="14" t="s">
        <v>68</v>
      </c>
      <c r="C12" s="15" t="s">
        <v>69</v>
      </c>
      <c r="D12" s="16">
        <v>75</v>
      </c>
      <c r="E12" s="17">
        <v>449</v>
      </c>
      <c r="F12" s="18">
        <v>382</v>
      </c>
      <c r="G12" s="19">
        <f t="shared" si="0"/>
        <v>14.9</v>
      </c>
      <c r="H12" s="20">
        <f t="shared" si="1"/>
        <v>5.09</v>
      </c>
      <c r="I12" s="21" t="s">
        <v>70</v>
      </c>
      <c r="J12" s="38" t="s">
        <v>39</v>
      </c>
      <c r="K12" s="38"/>
      <c r="L12" s="38"/>
      <c r="M12" s="39"/>
      <c r="N12" s="40" t="s">
        <v>40</v>
      </c>
      <c r="O12" s="41" t="s">
        <v>40</v>
      </c>
      <c r="P12" s="38" t="s">
        <v>39</v>
      </c>
      <c r="Q12" s="38"/>
      <c r="R12" s="38"/>
      <c r="S12" s="39"/>
      <c r="T12" s="40" t="s">
        <v>40</v>
      </c>
      <c r="U12" s="33" t="s">
        <v>33</v>
      </c>
      <c r="V12" s="34" t="s">
        <v>34</v>
      </c>
    </row>
    <row r="13" spans="1:22" ht="33.75" customHeight="1" x14ac:dyDescent="0.25">
      <c r="A13" s="35" t="s">
        <v>71</v>
      </c>
      <c r="B13" s="36" t="s">
        <v>64</v>
      </c>
      <c r="C13" s="37" t="s">
        <v>72</v>
      </c>
      <c r="D13" s="16">
        <v>88</v>
      </c>
      <c r="E13" s="17">
        <v>559</v>
      </c>
      <c r="F13" s="18">
        <v>503</v>
      </c>
      <c r="G13" s="19">
        <f t="shared" si="0"/>
        <v>10</v>
      </c>
      <c r="H13" s="20">
        <f t="shared" si="1"/>
        <v>5.72</v>
      </c>
      <c r="I13" s="21" t="s">
        <v>73</v>
      </c>
      <c r="J13" s="22" t="s">
        <v>32</v>
      </c>
      <c r="K13" s="23">
        <v>88</v>
      </c>
      <c r="L13" s="24">
        <v>559</v>
      </c>
      <c r="M13" s="25">
        <v>502</v>
      </c>
      <c r="N13" s="26">
        <f>ROUND((1-M13/L13)*100,1)</f>
        <v>10.199999999999999</v>
      </c>
      <c r="O13" s="27">
        <f>ROUND(M13/K13,2)</f>
        <v>5.7</v>
      </c>
      <c r="P13" s="28" t="s">
        <v>32</v>
      </c>
      <c r="Q13" s="29">
        <v>88</v>
      </c>
      <c r="R13" s="30">
        <v>559</v>
      </c>
      <c r="S13" s="31">
        <v>531</v>
      </c>
      <c r="T13" s="32">
        <f>ROUND((1-S13/R13)*100,1)</f>
        <v>5</v>
      </c>
      <c r="U13" s="33" t="s">
        <v>53</v>
      </c>
      <c r="V13" s="34" t="s">
        <v>34</v>
      </c>
    </row>
    <row r="15" spans="1:22" ht="15.75" customHeight="1" x14ac:dyDescent="0.25">
      <c r="A15" s="1" t="s">
        <v>74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</sheetData>
  <autoFilter ref="A3:V13" xr:uid="{00000000-0009-0000-0000-000000000000}"/>
  <mergeCells count="7">
    <mergeCell ref="A15:V15"/>
    <mergeCell ref="A1:V1"/>
    <mergeCell ref="A2:C2"/>
    <mergeCell ref="D2:I2"/>
    <mergeCell ref="J2:O2"/>
    <mergeCell ref="P2:T2"/>
    <mergeCell ref="U2:V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Nykaa Face Wash Bestsellers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mohammed maaz</cp:lastModifiedBy>
  <cp:revision>0</cp:revision>
  <dcterms:created xsi:type="dcterms:W3CDTF">2026-07-01T11:22:41Z</dcterms:created>
  <dcterms:modified xsi:type="dcterms:W3CDTF">2026-07-03T05:30:15Z</dcterms:modified>
  <dc:language>en-US</dc:language>
</cp:coreProperties>
</file>