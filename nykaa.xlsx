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sma\Desktop\analytics\"/>
    </mc:Choice>
  </mc:AlternateContent>
  <xr:revisionPtr revIDLastSave="0" documentId="13_ncr:1_{2CFEE3EA-69A4-4259-A12B-CCD51BE534BC}" xr6:coauthVersionLast="47" xr6:coauthVersionMax="47" xr10:uidLastSave="{00000000-0000-0000-0000-000000000000}"/>
  <bookViews>
    <workbookView xWindow="-120" yWindow="-120" windowWidth="24240" windowHeight="13740" tabRatio="500" activeTab="2" xr2:uid="{00000000-000D-0000-FFFF-FFFF00000000}"/>
  </bookViews>
  <sheets>
    <sheet name="📋 INDEX" sheetId="1" r:id="rId1"/>
    <sheet name="Moisturizers" sheetId="2" r:id="rId2"/>
    <sheet name="Kajal &amp; Eyeliner" sheetId="3" r:id="rId3"/>
    <sheet name="Shampoo" sheetId="4" r:id="rId4"/>
    <sheet name="Lip Care" sheetId="5" r:id="rId5"/>
    <sheet name="Face Wash" sheetId="6" r:id="rId6"/>
  </sheets>
  <definedNames>
    <definedName name="_xlnm._FilterDatabase" localSheetId="2" hidden="1">'Kajal &amp; Eyeliner'!$A$3:$V$13</definedName>
    <definedName name="_xlnm._FilterDatabase" localSheetId="4" hidden="1">'Lip Care'!$A$3:$V$13</definedName>
    <definedName name="_xlnm._FilterDatabase" localSheetId="1" hidden="1">Moisturizers!$A$3:$V$13</definedName>
    <definedName name="_xlnm._FilterDatabase" localSheetId="3" hidden="1">Shampoo!$A$3:$V$13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3" i="6" l="1"/>
  <c r="O13" i="6"/>
  <c r="N13" i="6"/>
  <c r="H13" i="6"/>
  <c r="G13" i="6"/>
  <c r="H12" i="6"/>
  <c r="G12" i="6"/>
  <c r="T11" i="6"/>
  <c r="O11" i="6"/>
  <c r="N11" i="6"/>
  <c r="H11" i="6"/>
  <c r="G11" i="6"/>
  <c r="O10" i="6"/>
  <c r="N10" i="6"/>
  <c r="H10" i="6"/>
  <c r="G10" i="6"/>
  <c r="T9" i="6"/>
  <c r="H9" i="6"/>
  <c r="G9" i="6"/>
  <c r="T8" i="6"/>
  <c r="O8" i="6"/>
  <c r="N8" i="6"/>
  <c r="H8" i="6"/>
  <c r="G8" i="6"/>
  <c r="T7" i="6"/>
  <c r="O7" i="6"/>
  <c r="N7" i="6"/>
  <c r="H7" i="6"/>
  <c r="G7" i="6"/>
  <c r="T6" i="6"/>
  <c r="H6" i="6"/>
  <c r="G6" i="6"/>
  <c r="T5" i="6"/>
  <c r="H5" i="6"/>
  <c r="G5" i="6"/>
  <c r="T4" i="6"/>
  <c r="O4" i="6"/>
  <c r="N4" i="6"/>
  <c r="H4" i="6"/>
  <c r="G4" i="6"/>
  <c r="H13" i="5"/>
  <c r="G13" i="5"/>
  <c r="T12" i="5"/>
  <c r="H12" i="5"/>
  <c r="G12" i="5"/>
  <c r="H11" i="5"/>
  <c r="G11" i="5"/>
  <c r="T10" i="5"/>
  <c r="O10" i="5"/>
  <c r="N10" i="5"/>
  <c r="H10" i="5"/>
  <c r="G10" i="5"/>
  <c r="H9" i="5"/>
  <c r="G9" i="5"/>
  <c r="T8" i="5"/>
  <c r="O8" i="5"/>
  <c r="N8" i="5"/>
  <c r="H8" i="5"/>
  <c r="G8" i="5"/>
  <c r="T7" i="5"/>
  <c r="O7" i="5"/>
  <c r="N7" i="5"/>
  <c r="H7" i="5"/>
  <c r="G7" i="5"/>
  <c r="T6" i="5"/>
  <c r="O6" i="5"/>
  <c r="N6" i="5"/>
  <c r="H6" i="5"/>
  <c r="G6" i="5"/>
  <c r="H5" i="5"/>
  <c r="G5" i="5"/>
  <c r="H4" i="5"/>
  <c r="G4" i="5"/>
  <c r="O13" i="4"/>
  <c r="N13" i="4"/>
  <c r="H13" i="4"/>
  <c r="G13" i="4"/>
  <c r="H12" i="4"/>
  <c r="G12" i="4"/>
  <c r="T11" i="4"/>
  <c r="H11" i="4"/>
  <c r="G11" i="4"/>
  <c r="H10" i="4"/>
  <c r="G10" i="4"/>
  <c r="T9" i="4"/>
  <c r="H9" i="4"/>
  <c r="G9" i="4"/>
  <c r="T8" i="4"/>
  <c r="O8" i="4"/>
  <c r="N8" i="4"/>
  <c r="H8" i="4"/>
  <c r="G8" i="4"/>
  <c r="T7" i="4"/>
  <c r="O7" i="4"/>
  <c r="N7" i="4"/>
  <c r="H7" i="4"/>
  <c r="G7" i="4"/>
  <c r="T6" i="4"/>
  <c r="O6" i="4"/>
  <c r="N6" i="4"/>
  <c r="H6" i="4"/>
  <c r="G6" i="4"/>
  <c r="T5" i="4"/>
  <c r="O5" i="4"/>
  <c r="N5" i="4"/>
  <c r="H5" i="4"/>
  <c r="G5" i="4"/>
  <c r="T4" i="4"/>
  <c r="O4" i="4"/>
  <c r="N4" i="4"/>
  <c r="H4" i="4"/>
  <c r="G4" i="4"/>
  <c r="O13" i="3"/>
  <c r="N13" i="3"/>
  <c r="H13" i="3"/>
  <c r="G13" i="3"/>
  <c r="H12" i="3"/>
  <c r="G12" i="3"/>
  <c r="H11" i="3"/>
  <c r="G11" i="3"/>
  <c r="T10" i="3"/>
  <c r="O10" i="3"/>
  <c r="N10" i="3"/>
  <c r="H10" i="3"/>
  <c r="G10" i="3"/>
  <c r="H9" i="3"/>
  <c r="G9" i="3"/>
  <c r="H8" i="3"/>
  <c r="G8" i="3"/>
  <c r="H7" i="3"/>
  <c r="G7" i="3"/>
  <c r="H6" i="3"/>
  <c r="G6" i="3"/>
  <c r="T5" i="3"/>
  <c r="O5" i="3"/>
  <c r="N5" i="3"/>
  <c r="H5" i="3"/>
  <c r="G5" i="3"/>
  <c r="T4" i="3"/>
  <c r="O4" i="3"/>
  <c r="N4" i="3"/>
  <c r="H4" i="3"/>
  <c r="G4" i="3"/>
  <c r="T13" i="2"/>
  <c r="O13" i="2"/>
  <c r="N13" i="2"/>
  <c r="H13" i="2"/>
  <c r="G13" i="2"/>
  <c r="H12" i="2"/>
  <c r="G12" i="2"/>
  <c r="T11" i="2"/>
  <c r="O11" i="2"/>
  <c r="N11" i="2"/>
  <c r="H11" i="2"/>
  <c r="G11" i="2"/>
  <c r="H10" i="2"/>
  <c r="G10" i="2"/>
  <c r="T9" i="2"/>
  <c r="O9" i="2"/>
  <c r="N9" i="2"/>
  <c r="H9" i="2"/>
  <c r="G9" i="2"/>
  <c r="T8" i="2"/>
  <c r="O8" i="2"/>
  <c r="N8" i="2"/>
  <c r="H8" i="2"/>
  <c r="G8" i="2"/>
  <c r="T7" i="2"/>
  <c r="O7" i="2"/>
  <c r="N7" i="2"/>
  <c r="H7" i="2"/>
  <c r="G7" i="2"/>
  <c r="T6" i="2"/>
  <c r="O6" i="2"/>
  <c r="N6" i="2"/>
  <c r="H6" i="2"/>
  <c r="G6" i="2"/>
  <c r="T5" i="2"/>
  <c r="O5" i="2"/>
  <c r="N5" i="2"/>
  <c r="H5" i="2"/>
  <c r="G5" i="2"/>
  <c r="T4" i="2"/>
  <c r="O4" i="2"/>
  <c r="N4" i="2"/>
  <c r="H4" i="2"/>
  <c r="G4" i="2"/>
</calcChain>
</file>

<file path=xl/sharedStrings.xml><?xml version="1.0" encoding="utf-8"?>
<sst xmlns="http://schemas.openxmlformats.org/spreadsheetml/2006/main" count="634" uniqueCount="244">
  <si>
    <t>NYKAA BEAUTY — COMPETITIVE PRICE TRACKER  |  Multi-Category Dataset</t>
  </si>
  <si>
    <t>Prices sourced from Nykaa.com · Blinkit.com · Zepto.com  |  July 2026  |  Ranked by Nykaa Review Count</t>
  </si>
  <si>
    <t>Category</t>
  </si>
  <si>
    <t>Products</t>
  </si>
  <si>
    <t>Nykaa Range</t>
  </si>
  <si>
    <t>Formula Columns</t>
  </si>
  <si>
    <t>Face Wash</t>
  </si>
  <si>
    <t>10 products</t>
  </si>
  <si>
    <t>₹119 – ₹854</t>
  </si>
  <si>
    <t>Disc %, ₹/ml, Best Platform</t>
  </si>
  <si>
    <t>Moisturizers</t>
  </si>
  <si>
    <t>₹336 – ₹1,819</t>
  </si>
  <si>
    <t>Kajal &amp; Eyeliner</t>
  </si>
  <si>
    <t>₹139 – ₹809</t>
  </si>
  <si>
    <t>Disc %, ₹/g, Best Platform</t>
  </si>
  <si>
    <t>Shampoo</t>
  </si>
  <si>
    <t>₹364 – ₹2,950</t>
  </si>
  <si>
    <t>Lip Care</t>
  </si>
  <si>
    <t>₹112 – ₹850</t>
  </si>
  <si>
    <t>📌  COLUMN STRUCTURE (same across all sheets):  Product Name · Brand · Category · Nykaa Size · Nykaa MRP · Nykaa Price · Nykaa Disc% · Nykaa ₹/unit · Nykaa Rating  |  Blinkit: Available · Size · MRP · Price · Disc% · ₹/unit  |  Zepto: Available · Size · MRP · Price · Disc%  |  Best Platform · Purchase Consideration</t>
  </si>
  <si>
    <t>NYKAA BEAUTY  |  TOP 10 MOISTURIZERS  —  COMPETITIVE PRICE TRACKER  (Ranked by Nykaa Review Count)</t>
  </si>
  <si>
    <t>PRODUCT INFO</t>
  </si>
  <si>
    <t>NYKAA</t>
  </si>
  <si>
    <t>BLINKIT</t>
  </si>
  <si>
    <t>ZEPTO</t>
  </si>
  <si>
    <t>ANALYSIS</t>
  </si>
  <si>
    <t>Product Name</t>
  </si>
  <si>
    <t>Brand</t>
  </si>
  <si>
    <t>Nykaa
Size (ml)</t>
  </si>
  <si>
    <t>Nykaa
MRP (₹)</t>
  </si>
  <si>
    <t>Nykaa
Price (₹)</t>
  </si>
  <si>
    <t>Nykaa
Disc %</t>
  </si>
  <si>
    <t>Nykaa
₹ / ml</t>
  </si>
  <si>
    <t>Nykaa Rating
(Reviews)</t>
  </si>
  <si>
    <t>Blinkit
Available</t>
  </si>
  <si>
    <t>Blinkit
Size (ml)</t>
  </si>
  <si>
    <t>Blinkit
MRP (₹)</t>
  </si>
  <si>
    <t>Blinkit
Price (₹)</t>
  </si>
  <si>
    <t>Blinkit
Disc %</t>
  </si>
  <si>
    <t>Blinkit
₹ / ml</t>
  </si>
  <si>
    <t>Zepto
Available</t>
  </si>
  <si>
    <t>Zepto
Size (ml)</t>
  </si>
  <si>
    <t>Zepto
MRP (₹)</t>
  </si>
  <si>
    <t>Zepto
Price (₹)</t>
  </si>
  <si>
    <t>Zepto
Disc %</t>
  </si>
  <si>
    <t>Best Price
Platform</t>
  </si>
  <si>
    <t>Purchase
Consideration</t>
  </si>
  <si>
    <t>#1  Pond's Super Light Gel Oil-Free Moisturiser with Hyaluronic Acid</t>
  </si>
  <si>
    <t>Pond's</t>
  </si>
  <si>
    <t>Oily / All Skin Types</t>
  </si>
  <si>
    <t>4.4 ★  (6,64,521)</t>
  </si>
  <si>
    <t>✅ Yes</t>
  </si>
  <si>
    <t>Nykaa</t>
  </si>
  <si>
    <t>Low</t>
  </si>
  <si>
    <t>#2  Cetaphil Moisturising Cream</t>
  </si>
  <si>
    <t>Cetaphil</t>
  </si>
  <si>
    <t>Dry / Normal Skin</t>
  </si>
  <si>
    <t>4.5 ★  (1,60,992)</t>
  </si>
  <si>
    <t>Blinkit</t>
  </si>
  <si>
    <t>High</t>
  </si>
  <si>
    <t>#3  Neutrogena Hydro Boost Hyaluronic Acid Water Gel Moisturizer</t>
  </si>
  <si>
    <t>Neutrogena</t>
  </si>
  <si>
    <t>All Skin Types / Hydrating</t>
  </si>
  <si>
    <t>4.5 ★  (1,58,092)</t>
  </si>
  <si>
    <t>#4  Lakme Absolute Perfect Radiance Skin Brightening Day Creme</t>
  </si>
  <si>
    <t>Lakmé</t>
  </si>
  <si>
    <t>All Skin Types / Brightening</t>
  </si>
  <si>
    <t>4.3 ★  (1,51,583)</t>
  </si>
  <si>
    <t>#5  Dot &amp; Key Hyaluronic + Ceramide Barrier Repair Hydrating Moisturizer</t>
  </si>
  <si>
    <t>Dot &amp; Key</t>
  </si>
  <si>
    <t>Normal / Dry / Barrier Repair</t>
  </si>
  <si>
    <t>4.4 ★  (1,27,875)</t>
  </si>
  <si>
    <t>#6  Dot &amp; Key Vitamin C + E Super Bright Face Moisturizer</t>
  </si>
  <si>
    <t>4.4 ★  (1,24,973)</t>
  </si>
  <si>
    <t>#7  Clinique Moisture Surge 100H Auto-Replenishing Hydrator</t>
  </si>
  <si>
    <t>Clinique</t>
  </si>
  <si>
    <t>All Skin Types / Intensive Hydration</t>
  </si>
  <si>
    <t>4.5 ★  (81,378)</t>
  </si>
  <si>
    <t>❌ No</t>
  </si>
  <si>
    <t>—</t>
  </si>
  <si>
    <t>#8  Simple Kind to Skin Hydrating Light Moisturizer</t>
  </si>
  <si>
    <t>Simple</t>
  </si>
  <si>
    <t>All Skin Types / Lightweight</t>
  </si>
  <si>
    <t>4.3 ★  (59,167)</t>
  </si>
  <si>
    <t>#9  Bioderma Niacinamide Moisturizer (Atoderm Crème)</t>
  </si>
  <si>
    <t>Bioderma</t>
  </si>
  <si>
    <t>Normal / Dry / Sensitive</t>
  </si>
  <si>
    <t>4.4 ★  (52,456)</t>
  </si>
  <si>
    <t>#10  Plum 2% Niacinamide &amp; Rice Water Moisturiser – Lightweight Gel</t>
  </si>
  <si>
    <t>Plum</t>
  </si>
  <si>
    <t>Oily / Combination Skin</t>
  </si>
  <si>
    <t>4.3 ★  (28,053)</t>
  </si>
  <si>
    <t>📌  Sources: Nykaa.com · Blinkit.com · Zepto.com  |  Ranked by Nykaa Review Count  |  Prices verified July 2026  |  Purchase Consideration: High = premium / considered purchase, Low = impulse / everyday</t>
  </si>
  <si>
    <t>NYKAA BEAUTY  |  TOP 10 KAJAL &amp; EYELINER  —  COMPETITIVE PRICE TRACKER  (Ranked by Nykaa Review Count)</t>
  </si>
  <si>
    <t>Nykaa
Size (g)</t>
  </si>
  <si>
    <t>Nykaa
₹ / g</t>
  </si>
  <si>
    <t>Blinkit
Size (g)</t>
  </si>
  <si>
    <t>Blinkit
₹ / g</t>
  </si>
  <si>
    <t>Zepto
Size (g)</t>
  </si>
  <si>
    <t>#1  Lakmé 9 to 5 Eyeconic Kajal – Waterproof Smudgeproof</t>
  </si>
  <si>
    <t>Kajal – Waterproof / All-day</t>
  </si>
  <si>
    <t>4.4 ★  (5,71,852)</t>
  </si>
  <si>
    <t>#2  Maybelline New York The Colossal Kajal 24H Smudge Proof</t>
  </si>
  <si>
    <t>Maybelline</t>
  </si>
  <si>
    <t>Kajal – Smudge Proof / 24H</t>
  </si>
  <si>
    <t>4.4 ★  (1,32,422)</t>
  </si>
  <si>
    <t>#3  Faces Canada Magneteyes Kajal</t>
  </si>
  <si>
    <t>Faces Canada</t>
  </si>
  <si>
    <t>Kajal – All-day Wear</t>
  </si>
  <si>
    <t>4.3 ★  (1,12,127)</t>
  </si>
  <si>
    <t>#4  Nykaa Magic Smudgeproof Kajal Eyeliner Pencil – Black</t>
  </si>
  <si>
    <t>Nykaa Cosmetics</t>
  </si>
  <si>
    <t>Kajal – Smudgeproof / Pencil</t>
  </si>
  <si>
    <t>4.4 ★  (90,693)</t>
  </si>
  <si>
    <t>#5  Kay Beauty 24HR Coloured Matte Kajal</t>
  </si>
  <si>
    <t>Kay Beauty</t>
  </si>
  <si>
    <t>Kajal – Matte / Long-wear</t>
  </si>
  <si>
    <t>4.4 ★  (52,340)</t>
  </si>
  <si>
    <t>#6  Renee Cosmetics Midnight Kohl Pencil – Waterproof Smudge-proof</t>
  </si>
  <si>
    <t>Renee Cosmetics</t>
  </si>
  <si>
    <t>Kajal – Waterproof Kohl</t>
  </si>
  <si>
    <t>4.3 ★  (40,444)</t>
  </si>
  <si>
    <t>#7  Lakmé Eyeconic Deep Black Kajal Twist Up Pencil Twin Pack</t>
  </si>
  <si>
    <t>Kajal – Matte / Twist-up</t>
  </si>
  <si>
    <t>4.3 ★  (34,934)</t>
  </si>
  <si>
    <t>#8  Kay Beauty Waterproof 24 Hour Kajal – Spade Black</t>
  </si>
  <si>
    <t>Kajal – Waterproof / 24H</t>
  </si>
  <si>
    <t>4.4 ★  (33,268)</t>
  </si>
  <si>
    <t>#9  Plum Natur Studio All-Day-Wear Kohl Kajal</t>
  </si>
  <si>
    <t>Kajal – Natural / Kohl</t>
  </si>
  <si>
    <t>4.3 ★  (27,364)</t>
  </si>
  <si>
    <t>#10  Lakmé Absolute Kohl Ultimate Kajal with Ceramides – Smudgeproof</t>
  </si>
  <si>
    <t>Kajal – Premium / Ceramide</t>
  </si>
  <si>
    <t>4.3 ★  (20,300)</t>
  </si>
  <si>
    <t>NYKAA BEAUTY  |  TOP 10 SHAMPOO  —  COMPETITIVE PRICE TRACKER  (Ranked by Nykaa Review Count)</t>
  </si>
  <si>
    <t>#1  TRESemmé Keratin Smooth With Argan Oil Shampoo</t>
  </si>
  <si>
    <t>TRESemmé</t>
  </si>
  <si>
    <t>Keratin / Frizz Control</t>
  </si>
  <si>
    <t>4.3 ★  (5,26,005)</t>
  </si>
  <si>
    <t>#2  Love Beauty &amp; Planet Argan Oil &amp; Lavender Sulphate-Free Shampoo</t>
  </si>
  <si>
    <t>Love Beauty &amp; Planet</t>
  </si>
  <si>
    <t>Sulphate-free / Frizzy Hair</t>
  </si>
  <si>
    <t>4.4 ★  (97,278)</t>
  </si>
  <si>
    <t>#3  L'Oréal Paris Hyaluron Moisture Anti-Frizz Shampoo with Hyaluronic Acid</t>
  </si>
  <si>
    <t>L'Oréal Paris</t>
  </si>
  <si>
    <t>Anti-frizz / Hydrating</t>
  </si>
  <si>
    <t>4.3 ★  (50,972)</t>
  </si>
  <si>
    <t>#4  L'Oréal Professionnel Absolut Repair Shampoo – Dry &amp; Damaged Hair</t>
  </si>
  <si>
    <t>L'Oréal Professionnel</t>
  </si>
  <si>
    <t>Damage Repair / Professional</t>
  </si>
  <si>
    <t>4.4 ★  (41,723)</t>
  </si>
  <si>
    <t>#5  Sunsilk Lusciously Thick &amp; Long Shampoo</t>
  </si>
  <si>
    <t>Sunsilk</t>
  </si>
  <si>
    <t>Volume / Thick &amp; Long Hair</t>
  </si>
  <si>
    <t>4.2 ★  (24,782)</t>
  </si>
  <si>
    <t>#6  Bare Anatomy Ultra Smoothing Shampoo for Dry &amp; Frizzy Hair</t>
  </si>
  <si>
    <t>Bare Anatomy</t>
  </si>
  <si>
    <t>Sulphate-free / Smoothing</t>
  </si>
  <si>
    <t>4.3 ★  (16,910)</t>
  </si>
  <si>
    <t>#7  L'Oréal Paris Hyaluron Pure 72H Purifying Shampoo – Oily Scalp</t>
  </si>
  <si>
    <t>Oily Scalp / Purifying</t>
  </si>
  <si>
    <t>4.3 ★  (5,920)</t>
  </si>
  <si>
    <t>#8  WishCare Multi Peptide Anti-Hairfall Shampoo with Rosemary</t>
  </si>
  <si>
    <t>WishCare</t>
  </si>
  <si>
    <t>Anti-Hairfall / Scalp Care</t>
  </si>
  <si>
    <t>4.3 ★  (6,257)</t>
  </si>
  <si>
    <t>#9  Olaplex No. 4 Bond Maintenance Strengthening Shampoo</t>
  </si>
  <si>
    <t>Olaplex</t>
  </si>
  <si>
    <t>Bond Repair / Damaged Hair</t>
  </si>
  <si>
    <t>4.5 ★  (4,387)</t>
  </si>
  <si>
    <t>#10  L'Oréal Professionnel X-Tenso Care Sulphate-Free Shampoo</t>
  </si>
  <si>
    <t>Straightened / Treated Hair</t>
  </si>
  <si>
    <t>4.4 ★  (40,951*)</t>
  </si>
  <si>
    <t>NYKAA BEAUTY  |  TOP 10 LIP CARE  —  COMPETITIVE PRICE TRACKER  (Ranked by Nykaa Review Count)</t>
  </si>
  <si>
    <t>#1  Nykaa Serial Kisser Moisturising Lip Balm With Shea Butter</t>
  </si>
  <si>
    <t>Lip Balm – Moisturising / Everyday</t>
  </si>
  <si>
    <t>4.4 ★  (1,86,623)</t>
  </si>
  <si>
    <t>#2  LANEIGE Lip Glowy Balm</t>
  </si>
  <si>
    <t>LANEIGE</t>
  </si>
  <si>
    <t>Lip Balm – Glow / K-Beauty Treatment</t>
  </si>
  <si>
    <t>4.6 ★  (1,59,355)</t>
  </si>
  <si>
    <t>#3  Vaseline Lip Tins</t>
  </si>
  <si>
    <t>Vaseline</t>
  </si>
  <si>
    <t>Lip Balm – Basic Moisture / Classic</t>
  </si>
  <si>
    <t>4.4 ★  (66,053)</t>
  </si>
  <si>
    <t>#4  Lakmé Lip Love Chapstick SPF 15</t>
  </si>
  <si>
    <t>Lip Balm – SPF / Tinted</t>
  </si>
  <si>
    <t>4.2 ★  (~50,000)</t>
  </si>
  <si>
    <t>#5  NIVEA Tinted Lip Balm With Natural Oils &amp; 24H Melt-In Moisture</t>
  </si>
  <si>
    <t>NIVEA</t>
  </si>
  <si>
    <t>Lip Balm – Tinted / Moisturising</t>
  </si>
  <si>
    <t>4.3 ★  (~30,000)</t>
  </si>
  <si>
    <t>#6  WishCare Tinted Ceramide Lip Balm SPF50 PA+++ (Watermelon)</t>
  </si>
  <si>
    <t>Lip Balm – Tinted / SPF50</t>
  </si>
  <si>
    <t>4.4 ★  (23,962)</t>
  </si>
  <si>
    <t>#7  Dot &amp; Key Barrier Repair Hydrating Lip Balm SPF 50 with Ceramides</t>
  </si>
  <si>
    <t>Lip Balm – SPF50 / Barrier Repair</t>
  </si>
  <si>
    <t>4.3 ★  (8,824)</t>
  </si>
  <si>
    <t>#8  WishCare Ceramide Lip Balm SPF50 PA+++ (Cocoa Butter)</t>
  </si>
  <si>
    <t>Lip Balm – Ceramide / SPF50</t>
  </si>
  <si>
    <t>4.4 ★  (8,764)</t>
  </si>
  <si>
    <t>#9  Dot &amp; Key Meltie Lip Balm SPF 50+ PA+++</t>
  </si>
  <si>
    <t>Lip Balm – Meltie / SPF50+</t>
  </si>
  <si>
    <t>4.3 ★  (7,459)</t>
  </si>
  <si>
    <t>#10  Forest Essentials Luscious Lip Balm with Organic Beeswax</t>
  </si>
  <si>
    <t>Forest Essentials</t>
  </si>
  <si>
    <t>Lip Balm – Organic / Luxury</t>
  </si>
  <si>
    <t>4.5 ★  (4,202)</t>
  </si>
  <si>
    <t>NYKAA BEAUTY  |  TOP 10 FACE WASH BESTSELLERS  —  COMPETITIVE PRICE TRACKER  (Ranked by Nykaa Review Count)</t>
  </si>
  <si>
    <t>#1  Cetaphil Gentle Skin Cleanser</t>
  </si>
  <si>
    <t>Gentle / Sensitive</t>
  </si>
  <si>
    <t>4.5 ★  (3,81,882)</t>
  </si>
  <si>
    <t>#2  Garnier Skin Naturals Micellar Oil-Infused Cleansing Water</t>
  </si>
  <si>
    <t>Garnier</t>
  </si>
  <si>
    <t>Micellar Water</t>
  </si>
  <si>
    <t>4.4 ★  (2,71,890)</t>
  </si>
  <si>
    <t>#3  Simple Kind to Skin Refreshing Facial Wash</t>
  </si>
  <si>
    <t>All Skin Types</t>
  </si>
  <si>
    <t>4.3 ★  (1,86,764)</t>
  </si>
  <si>
    <t>#4  Minimalist 2% Salicylic Acid + LHA Face Cleanser</t>
  </si>
  <si>
    <t>Minimalist</t>
  </si>
  <si>
    <t>Acne / Oily Skin</t>
  </si>
  <si>
    <t>4.4 ★  (1,24,027)</t>
  </si>
  <si>
    <t>Zepto</t>
  </si>
  <si>
    <t>#5  Cetaphil Oily Skin Cleanser</t>
  </si>
  <si>
    <t>Oily / Sensitive</t>
  </si>
  <si>
    <t>4.4 ★  (84,579)</t>
  </si>
  <si>
    <t>#6  Dot &amp; Key Barrier Repair + Hydrating Gentle Face Wash</t>
  </si>
  <si>
    <t>Hydrating / Barrier</t>
  </si>
  <si>
    <t>4.3 ★  (59,150)</t>
  </si>
  <si>
    <t>#7  The Face Shop Rice Water Bright Foaming Cleanser</t>
  </si>
  <si>
    <t>The Face Shop</t>
  </si>
  <si>
    <t>Brightening</t>
  </si>
  <si>
    <t>4.4 ★  (46,573)</t>
  </si>
  <si>
    <t>#8  CeraVe Hydrating Cleanser Non-Foaming</t>
  </si>
  <si>
    <t>CeraVe</t>
  </si>
  <si>
    <t>4.5 ★  (41,812)</t>
  </si>
  <si>
    <t>#9  The Derma Co 2% Salicylic Acid Anti-Acne Face Wash</t>
  </si>
  <si>
    <t>The Derma Co</t>
  </si>
  <si>
    <t>Active Acne</t>
  </si>
  <si>
    <t>4.3 ★  (22,287)</t>
  </si>
  <si>
    <t>#10  CeraVe Foaming Cleanser for Oily Skin</t>
  </si>
  <si>
    <t>Oily / Normal Skin</t>
  </si>
  <si>
    <t>4.5 ★  (22,152)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</si>
</sst>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&quot; ml&quot;"/>
    <numFmt numFmtId="165" formatCode="\₹#,##0"/>
    <numFmt numFmtId="166" formatCode="0.0\%"/>
    <numFmt numFmtId="167" formatCode="\₹#,##0.00&quot;/ ml&quot;"/>
    <numFmt numFmtId="168" formatCode="0.00&quot; g&quot;"/>
    <numFmt numFmtId="169" formatCode="\₹#,##0.00&quot;/ g&quot;"/>
  </numFmts>
  <fonts count="2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880044"/>
      <name val="Arial"/>
      <charset val="1"/>
    </font>
    <font>
      <sz val="9"/>
      <color rgb="FF333333"/>
      <name val="Arial"/>
      <charset val="1"/>
    </font>
    <font>
      <i/>
      <sz val="7.5"/>
      <color rgb="FF555555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1A1A1A"/>
      <name val="Arial"/>
      <charset val="1"/>
    </font>
    <font>
      <sz val="8"/>
      <color rgb="FF333333"/>
      <name val="Arial"/>
      <charset val="1"/>
    </font>
    <font>
      <sz val="8"/>
      <color rgb="FF555555"/>
      <name val="Arial"/>
      <charset val="1"/>
    </font>
    <font>
      <sz val="8"/>
      <color rgb="FF880044"/>
      <name val="Arial"/>
      <charset val="1"/>
    </font>
    <font>
      <sz val="8"/>
      <color rgb="FFFFFFFF"/>
      <name val="Arial"/>
      <charset val="1"/>
    </font>
    <font>
      <b/>
      <sz val="8"/>
      <color rgb="FF880044"/>
      <name val="Arial"/>
      <charset val="1"/>
    </font>
    <font>
      <sz val="8"/>
      <color rgb="FF2E7D32"/>
      <name val="Arial"/>
      <charset val="1"/>
    </font>
    <font>
      <b/>
      <sz val="8"/>
      <color rgb="FFBF360C"/>
      <name val="Arial"/>
      <charset val="1"/>
    </font>
    <font>
      <b/>
      <sz val="8"/>
      <color rgb="FF6A1B9A"/>
      <name val="Arial"/>
      <charset val="1"/>
    </font>
    <font>
      <b/>
      <sz val="8"/>
      <color rgb="FF1565C0"/>
      <name val="Arial"/>
      <charset val="1"/>
    </font>
    <font>
      <b/>
      <sz val="8"/>
      <color rgb="FFC62828"/>
      <name val="Arial"/>
      <charset val="1"/>
    </font>
    <font>
      <b/>
      <sz val="8"/>
      <color rgb="FF2E7D32"/>
      <name val="Arial"/>
      <charset val="1"/>
    </font>
    <font>
      <sz val="8"/>
      <color rgb="FF888888"/>
      <name val="Arial"/>
      <charset val="1"/>
    </font>
    <font>
      <sz val="8"/>
      <color rgb="FF999999"/>
      <name val="Arial"/>
      <charset val="1"/>
    </font>
    <font>
      <i/>
      <sz val="7"/>
      <color rgb="FF888888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B6006B"/>
        <bgColor rgb="FFD81B60"/>
      </patternFill>
    </fill>
    <fill>
      <patternFill patternType="solid">
        <fgColor rgb="FF37474F"/>
        <bgColor rgb="FF333333"/>
      </patternFill>
    </fill>
    <fill>
      <patternFill patternType="solid">
        <fgColor rgb="FFD81B60"/>
        <bgColor rgb="FFC62828"/>
      </patternFill>
    </fill>
    <fill>
      <patternFill patternType="solid">
        <fgColor rgb="FFFF6F00"/>
        <bgColor rgb="FFFF9900"/>
      </patternFill>
    </fill>
    <fill>
      <patternFill patternType="solid">
        <fgColor rgb="FF6A1B9A"/>
        <bgColor rgb="FF880044"/>
      </patternFill>
    </fill>
    <fill>
      <patternFill patternType="solid">
        <fgColor rgb="FFFFF0F5"/>
        <bgColor rgb="FFF5F5F5"/>
      </patternFill>
    </fill>
    <fill>
      <patternFill patternType="solid">
        <fgColor rgb="FFF5F5F5"/>
        <bgColor rgb="FFF9F9F9"/>
      </patternFill>
    </fill>
    <fill>
      <patternFill patternType="solid">
        <fgColor rgb="FF263238"/>
        <bgColor rgb="FF333333"/>
      </patternFill>
    </fill>
    <fill>
      <patternFill patternType="solid">
        <fgColor rgb="FFFFF9FC"/>
        <bgColor rgb="FFFAFAFA"/>
      </patternFill>
    </fill>
    <fill>
      <patternFill patternType="solid">
        <fgColor rgb="FFF8E4EF"/>
        <bgColor rgb="FFFCE4EC"/>
      </patternFill>
    </fill>
    <fill>
      <patternFill patternType="solid">
        <fgColor rgb="FFFFFDE7"/>
        <bgColor rgb="FFFAFAFA"/>
      </patternFill>
    </fill>
    <fill>
      <patternFill patternType="solid">
        <fgColor rgb="FFFFF3D0"/>
        <bgColor rgb="FFFFFDE7"/>
      </patternFill>
    </fill>
    <fill>
      <patternFill patternType="solid">
        <fgColor rgb="FFF3E5F5"/>
        <bgColor rgb="FFF8E4EF"/>
      </patternFill>
    </fill>
    <fill>
      <patternFill patternType="solid">
        <fgColor rgb="FFF0F4FF"/>
        <bgColor rgb="FFF5F5F5"/>
      </patternFill>
    </fill>
    <fill>
      <patternFill patternType="solid">
        <fgColor rgb="FFFCE4EC"/>
        <bgColor rgb="FFF8E4EF"/>
      </patternFill>
    </fill>
    <fill>
      <patternFill patternType="solid">
        <fgColor rgb="FFE8F5E9"/>
        <bgColor rgb="FFF5F5F5"/>
      </patternFill>
    </fill>
    <fill>
      <patternFill patternType="solid">
        <fgColor rgb="FFFAFAFA"/>
        <bgColor rgb="FFF9F9F9"/>
      </patternFill>
    </fill>
    <fill>
      <patternFill patternType="solid">
        <fgColor rgb="FFF9F9F9"/>
        <bgColor rgb="FFFAFAFA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164" fontId="13" fillId="10" borderId="2" xfId="0" applyNumberFormat="1" applyFont="1" applyFill="1" applyBorder="1" applyAlignment="1">
      <alignment horizontal="center" vertical="center" wrapText="1"/>
    </xf>
    <xf numFmtId="165" fontId="14" fillId="10" borderId="2" xfId="0" applyNumberFormat="1" applyFont="1" applyFill="1" applyBorder="1" applyAlignment="1">
      <alignment horizontal="center" vertical="center" wrapText="1"/>
    </xf>
    <xf numFmtId="165" fontId="15" fillId="10" borderId="2" xfId="0" applyNumberFormat="1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 wrapText="1"/>
    </xf>
    <xf numFmtId="167" fontId="15" fillId="11" borderId="2" xfId="0" applyNumberFormat="1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164" fontId="14" fillId="12" borderId="2" xfId="0" applyNumberFormat="1" applyFont="1" applyFill="1" applyBorder="1" applyAlignment="1">
      <alignment horizontal="center" vertical="center" wrapText="1"/>
    </xf>
    <xf numFmtId="165" fontId="14" fillId="12" borderId="2" xfId="0" applyNumberFormat="1" applyFont="1" applyFill="1" applyBorder="1" applyAlignment="1">
      <alignment horizontal="center" vertical="center" wrapText="1"/>
    </xf>
    <xf numFmtId="165" fontId="17" fillId="12" borderId="2" xfId="0" applyNumberFormat="1" applyFont="1" applyFill="1" applyBorder="1" applyAlignment="1">
      <alignment horizontal="center" vertical="center" wrapText="1"/>
    </xf>
    <xf numFmtId="166" fontId="16" fillId="12" borderId="2" xfId="0" applyNumberFormat="1" applyFont="1" applyFill="1" applyBorder="1" applyAlignment="1">
      <alignment horizontal="center" vertical="center" wrapText="1"/>
    </xf>
    <xf numFmtId="167" fontId="17" fillId="13" borderId="2" xfId="0" applyNumberFormat="1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164" fontId="14" fillId="14" borderId="2" xfId="0" applyNumberFormat="1" applyFont="1" applyFill="1" applyBorder="1" applyAlignment="1">
      <alignment horizontal="center" vertical="center" wrapText="1"/>
    </xf>
    <xf numFmtId="165" fontId="14" fillId="14" borderId="2" xfId="0" applyNumberFormat="1" applyFont="1" applyFill="1" applyBorder="1" applyAlignment="1">
      <alignment horizontal="center" vertical="center" wrapText="1"/>
    </xf>
    <xf numFmtId="165" fontId="18" fillId="14" borderId="2" xfId="0" applyNumberFormat="1" applyFont="1" applyFill="1" applyBorder="1" applyAlignment="1">
      <alignment horizontal="center" vertical="center" wrapText="1"/>
    </xf>
    <xf numFmtId="166" fontId="16" fillId="14" borderId="2" xfId="0" applyNumberFormat="1" applyFont="1" applyFill="1" applyBorder="1" applyAlignment="1">
      <alignment horizontal="center" vertical="center" wrapText="1"/>
    </xf>
    <xf numFmtId="0" fontId="19" fillId="15" borderId="2" xfId="0" applyFont="1" applyFill="1" applyBorder="1" applyAlignment="1">
      <alignment horizontal="center" vertical="center" wrapText="1"/>
    </xf>
    <xf numFmtId="0" fontId="20" fillId="16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21" fillId="17" borderId="2" xfId="0" applyFont="1" applyFill="1" applyBorder="1" applyAlignment="1">
      <alignment horizontal="center" vertical="center" wrapText="1"/>
    </xf>
    <xf numFmtId="0" fontId="14" fillId="18" borderId="2" xfId="0" applyFont="1" applyFill="1" applyBorder="1" applyAlignment="1">
      <alignment horizontal="center" vertical="center" wrapText="1"/>
    </xf>
    <xf numFmtId="0" fontId="22" fillId="18" borderId="2" xfId="0" applyFont="1" applyFill="1" applyBorder="1" applyAlignment="1">
      <alignment horizontal="center" vertical="center" wrapText="1"/>
    </xf>
    <xf numFmtId="0" fontId="16" fillId="18" borderId="2" xfId="0" applyFont="1" applyFill="1" applyBorder="1" applyAlignment="1">
      <alignment horizontal="center" vertical="center" wrapText="1"/>
    </xf>
    <xf numFmtId="0" fontId="23" fillId="18" borderId="2" xfId="0" applyFont="1" applyFill="1" applyBorder="1" applyAlignment="1">
      <alignment horizontal="center" vertical="center" wrapText="1"/>
    </xf>
    <xf numFmtId="168" fontId="13" fillId="10" borderId="2" xfId="0" applyNumberFormat="1" applyFont="1" applyFill="1" applyBorder="1" applyAlignment="1">
      <alignment horizontal="center" vertical="center" wrapText="1"/>
    </xf>
    <xf numFmtId="169" fontId="15" fillId="11" borderId="2" xfId="0" applyNumberFormat="1" applyFont="1" applyFill="1" applyBorder="1" applyAlignment="1">
      <alignment horizontal="center" vertical="center" wrapText="1"/>
    </xf>
    <xf numFmtId="168" fontId="14" fillId="12" borderId="2" xfId="0" applyNumberFormat="1" applyFont="1" applyFill="1" applyBorder="1" applyAlignment="1">
      <alignment horizontal="center" vertical="center" wrapText="1"/>
    </xf>
    <xf numFmtId="169" fontId="17" fillId="13" borderId="2" xfId="0" applyNumberFormat="1" applyFont="1" applyFill="1" applyBorder="1" applyAlignment="1">
      <alignment horizontal="center" vertical="center" wrapText="1"/>
    </xf>
    <xf numFmtId="168" fontId="14" fillId="14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left" vertical="center" wrapText="1"/>
    </xf>
    <xf numFmtId="0" fontId="24" fillId="19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AFAFA"/>
      <rgbColor rgb="FFFF00FF"/>
      <rgbColor rgb="FF00FFFF"/>
      <rgbColor rgb="FF800000"/>
      <rgbColor rgb="FF008000"/>
      <rgbColor rgb="FF000080"/>
      <rgbColor rgb="FF808000"/>
      <rgbColor rgb="FF880044"/>
      <rgbColor rgb="FF008080"/>
      <rgbColor rgb="FFCCCCCC"/>
      <rgbColor rgb="FF888888"/>
      <rgbColor rgb="FF9999FF"/>
      <rgbColor rgb="FFC62828"/>
      <rgbColor rgb="FFFFFDE7"/>
      <rgbColor rgb="FFE8F5E9"/>
      <rgbColor rgb="FFB6006B"/>
      <rgbColor rgb="FFFF8080"/>
      <rgbColor rgb="FF1565C0"/>
      <rgbColor rgb="FFF3E5F5"/>
      <rgbColor rgb="FF000080"/>
      <rgbColor rgb="FFFF00FF"/>
      <rgbColor rgb="FFFFF9FC"/>
      <rgbColor rgb="FF00FFFF"/>
      <rgbColor rgb="FF6A1B9A"/>
      <rgbColor rgb="FF800000"/>
      <rgbColor rgb="FF008080"/>
      <rgbColor rgb="FF0000FF"/>
      <rgbColor rgb="FF00CCFF"/>
      <rgbColor rgb="FFF0F4FF"/>
      <rgbColor rgb="FFF5F5F5"/>
      <rgbColor rgb="FFFFF3D0"/>
      <rgbColor rgb="FFF8E4EF"/>
      <rgbColor rgb="FFFFF0F5"/>
      <rgbColor rgb="FFF9F9F9"/>
      <rgbColor rgb="FFFCE4EC"/>
      <rgbColor rgb="FF3366FF"/>
      <rgbColor rgb="FF33CCCC"/>
      <rgbColor rgb="FF99CC00"/>
      <rgbColor rgb="FFFFCC00"/>
      <rgbColor rgb="FFFF9900"/>
      <rgbColor rgb="FFFF6F00"/>
      <rgbColor rgb="FF555555"/>
      <rgbColor rgb="FF999999"/>
      <rgbColor rgb="FF003366"/>
      <rgbColor rgb="FF2E7D32"/>
      <rgbColor rgb="FF1A1A1A"/>
      <rgbColor rgb="FF263238"/>
      <rgbColor rgb="FFBF360C"/>
      <rgbColor rgb="FFD81B60"/>
      <rgbColor rgb="FF37474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zoomScaleNormal="100" workbookViewId="0">
      <selection activeCell="C4" sqref="C4"/>
    </sheetView>
  </sheetViews>
  <sheetFormatPr defaultColWidth="8.7109375" defaultRowHeight="15" x14ac:dyDescent="0.25"/>
  <cols>
    <col min="1" max="1" width="30" customWidth="1"/>
    <col min="2" max="2" width="20" customWidth="1"/>
    <col min="3" max="3" width="16" customWidth="1"/>
    <col min="4" max="4" width="20" customWidth="1"/>
  </cols>
  <sheetData>
    <row r="1" spans="1:4" ht="31.5" customHeight="1" x14ac:dyDescent="0.25">
      <c r="A1" s="51" t="s">
        <v>0</v>
      </c>
      <c r="B1" s="51"/>
      <c r="C1" s="51"/>
      <c r="D1" s="51"/>
    </row>
    <row r="2" spans="1:4" ht="18" customHeight="1" x14ac:dyDescent="0.25">
      <c r="A2" s="52" t="s">
        <v>1</v>
      </c>
      <c r="B2" s="52"/>
      <c r="C2" s="52"/>
      <c r="D2" s="52"/>
    </row>
    <row r="3" spans="1:4" ht="21.75" customHeight="1" x14ac:dyDescent="0.25">
      <c r="A3" s="1" t="s">
        <v>2</v>
      </c>
      <c r="B3" s="2" t="s">
        <v>3</v>
      </c>
      <c r="C3" s="3" t="s">
        <v>4</v>
      </c>
      <c r="D3" s="4" t="s">
        <v>5</v>
      </c>
    </row>
    <row r="4" spans="1:4" ht="21.75" customHeight="1" x14ac:dyDescent="0.25">
      <c r="A4" s="5" t="s">
        <v>6</v>
      </c>
      <c r="B4" s="6" t="s">
        <v>7</v>
      </c>
      <c r="C4" s="6" t="s">
        <v>8</v>
      </c>
      <c r="D4" s="7" t="s">
        <v>9</v>
      </c>
    </row>
    <row r="5" spans="1:4" ht="21.75" customHeight="1" x14ac:dyDescent="0.25">
      <c r="A5" s="8" t="s">
        <v>10</v>
      </c>
      <c r="B5" s="9" t="s">
        <v>7</v>
      </c>
      <c r="C5" s="9" t="s">
        <v>11</v>
      </c>
      <c r="D5" s="10" t="s">
        <v>9</v>
      </c>
    </row>
    <row r="6" spans="1:4" ht="21.75" customHeight="1" x14ac:dyDescent="0.25">
      <c r="A6" s="5" t="s">
        <v>12</v>
      </c>
      <c r="B6" s="6" t="s">
        <v>7</v>
      </c>
      <c r="C6" s="6" t="s">
        <v>13</v>
      </c>
      <c r="D6" s="7" t="s">
        <v>14</v>
      </c>
    </row>
    <row r="7" spans="1:4" ht="21.75" customHeight="1" x14ac:dyDescent="0.25">
      <c r="A7" s="8" t="s">
        <v>15</v>
      </c>
      <c r="B7" s="9" t="s">
        <v>7</v>
      </c>
      <c r="C7" s="9" t="s">
        <v>16</v>
      </c>
      <c r="D7" s="10" t="s">
        <v>9</v>
      </c>
    </row>
    <row r="8" spans="1:4" ht="21.75" customHeight="1" x14ac:dyDescent="0.25">
      <c r="A8" s="5" t="s">
        <v>17</v>
      </c>
      <c r="B8" s="6" t="s">
        <v>7</v>
      </c>
      <c r="C8" s="6" t="s">
        <v>18</v>
      </c>
      <c r="D8" s="7" t="s">
        <v>14</v>
      </c>
    </row>
    <row r="10" spans="1:4" ht="27.75" customHeight="1" x14ac:dyDescent="0.25">
      <c r="A10" s="53" t="s">
        <v>19</v>
      </c>
      <c r="B10" s="53"/>
      <c r="C10" s="53"/>
      <c r="D10" s="53"/>
    </row>
  </sheetData>
  <mergeCells count="3">
    <mergeCell ref="A1:D1"/>
    <mergeCell ref="A2:D2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9" sqref="J9"/>
    </sheetView>
  </sheetViews>
  <sheetFormatPr defaultColWidth="8.7109375" defaultRowHeight="15" x14ac:dyDescent="0.25"/>
  <cols>
    <col min="1" max="1" width="36" customWidth="1"/>
    <col min="2" max="2" width="10.140625" bestFit="1" customWidth="1"/>
    <col min="3" max="3" width="20" customWidth="1"/>
    <col min="4" max="4" width="12.42578125" bestFit="1" customWidth="1"/>
    <col min="5" max="5" width="11.42578125" bestFit="1" customWidth="1"/>
    <col min="6" max="6" width="12" bestFit="1" customWidth="1"/>
    <col min="7" max="7" width="10.5703125" bestFit="1" customWidth="1"/>
    <col min="8" max="8" width="10.140625" bestFit="1" customWidth="1"/>
    <col min="9" max="9" width="15.42578125" bestFit="1" customWidth="1"/>
    <col min="10" max="10" width="12.5703125" bestFit="1" customWidth="1"/>
    <col min="11" max="11" width="12.42578125" bestFit="1" customWidth="1"/>
    <col min="12" max="12" width="11.42578125" bestFit="1" customWidth="1"/>
    <col min="13" max="13" width="12" bestFit="1" customWidth="1"/>
    <col min="14" max="14" width="10.5703125" bestFit="1" customWidth="1"/>
    <col min="15" max="15" width="10.42578125" bestFit="1" customWidth="1"/>
    <col min="16" max="16" width="12.5703125" bestFit="1" customWidth="1"/>
    <col min="17" max="17" width="12.42578125" bestFit="1" customWidth="1"/>
    <col min="18" max="18" width="11.42578125" bestFit="1" customWidth="1"/>
    <col min="19" max="19" width="12" bestFit="1" customWidth="1"/>
    <col min="20" max="20" width="10.5703125" bestFit="1" customWidth="1"/>
    <col min="21" max="21" width="13.5703125" bestFit="1" customWidth="1"/>
    <col min="22" max="22" width="16.7109375" bestFit="1" customWidth="1"/>
  </cols>
  <sheetData>
    <row r="1" spans="1:22" ht="27.75" customHeight="1" x14ac:dyDescent="0.25">
      <c r="A1" s="55" t="s">
        <v>20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22" ht="19.5" customHeight="1" x14ac:dyDescent="0.25">
      <c r="A2" s="56" t="s">
        <v>21</v>
      </c>
      <c r="B2" s="56"/>
      <c r="C2" s="56"/>
      <c r="D2" s="57" t="s">
        <v>22</v>
      </c>
      <c r="E2" s="57"/>
      <c r="F2" s="57"/>
      <c r="G2" s="57"/>
      <c r="H2" s="57"/>
      <c r="I2" s="57"/>
      <c r="J2" s="58" t="s">
        <v>23</v>
      </c>
      <c r="K2" s="58"/>
      <c r="L2" s="58"/>
      <c r="M2" s="58"/>
      <c r="N2" s="58"/>
      <c r="O2" s="58"/>
      <c r="P2" s="59" t="s">
        <v>24</v>
      </c>
      <c r="Q2" s="59"/>
      <c r="R2" s="59"/>
      <c r="S2" s="59"/>
      <c r="T2" s="59"/>
      <c r="U2" s="60" t="s">
        <v>25</v>
      </c>
      <c r="V2" s="60"/>
    </row>
    <row r="3" spans="1:22" ht="33.75" customHeight="1" x14ac:dyDescent="0.25">
      <c r="A3" s="11" t="s">
        <v>26</v>
      </c>
      <c r="B3" s="11" t="s">
        <v>27</v>
      </c>
      <c r="C3" s="11" t="s">
        <v>2</v>
      </c>
      <c r="D3" s="12" t="s">
        <v>28</v>
      </c>
      <c r="E3" s="12" t="s">
        <v>29</v>
      </c>
      <c r="F3" s="12" t="s">
        <v>30</v>
      </c>
      <c r="G3" s="12" t="s">
        <v>31</v>
      </c>
      <c r="H3" s="12" t="s">
        <v>32</v>
      </c>
      <c r="I3" s="12" t="s">
        <v>33</v>
      </c>
      <c r="J3" s="13" t="s">
        <v>34</v>
      </c>
      <c r="K3" s="13" t="s">
        <v>35</v>
      </c>
      <c r="L3" s="13" t="s">
        <v>36</v>
      </c>
      <c r="M3" s="13" t="s">
        <v>37</v>
      </c>
      <c r="N3" s="13" t="s">
        <v>38</v>
      </c>
      <c r="O3" s="13" t="s">
        <v>39</v>
      </c>
      <c r="P3" s="14" t="s">
        <v>40</v>
      </c>
      <c r="Q3" s="14" t="s">
        <v>41</v>
      </c>
      <c r="R3" s="14" t="s">
        <v>42</v>
      </c>
      <c r="S3" s="14" t="s">
        <v>43</v>
      </c>
      <c r="T3" s="14" t="s">
        <v>44</v>
      </c>
      <c r="U3" s="15" t="s">
        <v>45</v>
      </c>
      <c r="V3" s="15" t="s">
        <v>46</v>
      </c>
    </row>
    <row r="4" spans="1:22" ht="33.75" customHeight="1" x14ac:dyDescent="0.25">
      <c r="A4" s="16" t="s">
        <v>47</v>
      </c>
      <c r="B4" s="17" t="s">
        <v>48</v>
      </c>
      <c r="C4" s="18" t="s">
        <v>49</v>
      </c>
      <c r="D4" s="19">
        <v>100</v>
      </c>
      <c r="E4" s="20">
        <v>904</v>
      </c>
      <c r="F4" s="21">
        <v>678</v>
      </c>
      <c r="G4" s="22">
        <f t="shared" ref="G4:G13" si="0">ROUND((1-F4/E4)*100,1)</f>
        <v>25</v>
      </c>
      <c r="H4" s="23">
        <f t="shared" ref="H4:H13" si="1">ROUND(F4/D4,2)</f>
        <v>6.78</v>
      </c>
      <c r="I4" s="24" t="s">
        <v>50</v>
      </c>
      <c r="J4" s="25" t="s">
        <v>51</v>
      </c>
      <c r="K4" s="26">
        <v>100</v>
      </c>
      <c r="L4" s="27">
        <v>904</v>
      </c>
      <c r="M4" s="28">
        <v>678</v>
      </c>
      <c r="N4" s="29">
        <f t="shared" ref="N4:N9" si="2">ROUND((1-M4/L4)*100,1)</f>
        <v>25</v>
      </c>
      <c r="O4" s="30">
        <f t="shared" ref="O4:O9" si="3">ROUND(M4/K4,2)</f>
        <v>6.78</v>
      </c>
      <c r="P4" s="31" t="s">
        <v>51</v>
      </c>
      <c r="Q4" s="32">
        <v>100</v>
      </c>
      <c r="R4" s="33">
        <v>904</v>
      </c>
      <c r="S4" s="34">
        <v>678</v>
      </c>
      <c r="T4" s="35">
        <f t="shared" ref="T4:T9" si="4">ROUND((1-S4/R4)*100,1)</f>
        <v>25</v>
      </c>
      <c r="U4" s="36" t="s">
        <v>52</v>
      </c>
      <c r="V4" s="37" t="s">
        <v>53</v>
      </c>
    </row>
    <row r="5" spans="1:22" ht="33.75" customHeight="1" x14ac:dyDescent="0.25">
      <c r="A5" s="38" t="s">
        <v>54</v>
      </c>
      <c r="B5" s="39" t="s">
        <v>55</v>
      </c>
      <c r="C5" s="40" t="s">
        <v>56</v>
      </c>
      <c r="D5" s="19">
        <v>250</v>
      </c>
      <c r="E5" s="20">
        <v>1999</v>
      </c>
      <c r="F5" s="21">
        <v>1819</v>
      </c>
      <c r="G5" s="22">
        <f t="shared" si="0"/>
        <v>9</v>
      </c>
      <c r="H5" s="23">
        <f t="shared" si="1"/>
        <v>7.28</v>
      </c>
      <c r="I5" s="24" t="s">
        <v>57</v>
      </c>
      <c r="J5" s="25" t="s">
        <v>51</v>
      </c>
      <c r="K5" s="26">
        <v>250</v>
      </c>
      <c r="L5" s="27">
        <v>1999</v>
      </c>
      <c r="M5" s="28">
        <v>1799</v>
      </c>
      <c r="N5" s="29">
        <f t="shared" si="2"/>
        <v>10</v>
      </c>
      <c r="O5" s="30">
        <f t="shared" si="3"/>
        <v>7.2</v>
      </c>
      <c r="P5" s="31" t="s">
        <v>51</v>
      </c>
      <c r="Q5" s="32">
        <v>250</v>
      </c>
      <c r="R5" s="33">
        <v>1999</v>
      </c>
      <c r="S5" s="34">
        <v>1799</v>
      </c>
      <c r="T5" s="35">
        <f t="shared" si="4"/>
        <v>10</v>
      </c>
      <c r="U5" s="36" t="s">
        <v>58</v>
      </c>
      <c r="V5" s="41" t="s">
        <v>59</v>
      </c>
    </row>
    <row r="6" spans="1:22" ht="33.75" customHeight="1" x14ac:dyDescent="0.25">
      <c r="A6" s="16" t="s">
        <v>60</v>
      </c>
      <c r="B6" s="17" t="s">
        <v>61</v>
      </c>
      <c r="C6" s="18" t="s">
        <v>62</v>
      </c>
      <c r="D6" s="19">
        <v>50</v>
      </c>
      <c r="E6" s="20">
        <v>1190</v>
      </c>
      <c r="F6" s="21">
        <v>750</v>
      </c>
      <c r="G6" s="22">
        <f t="shared" si="0"/>
        <v>37</v>
      </c>
      <c r="H6" s="23">
        <f t="shared" si="1"/>
        <v>15</v>
      </c>
      <c r="I6" s="24" t="s">
        <v>63</v>
      </c>
      <c r="J6" s="25" t="s">
        <v>51</v>
      </c>
      <c r="K6" s="26">
        <v>50</v>
      </c>
      <c r="L6" s="27">
        <v>1190</v>
      </c>
      <c r="M6" s="28">
        <v>1069</v>
      </c>
      <c r="N6" s="29">
        <f t="shared" si="2"/>
        <v>10.199999999999999</v>
      </c>
      <c r="O6" s="30">
        <f t="shared" si="3"/>
        <v>21.38</v>
      </c>
      <c r="P6" s="31" t="s">
        <v>51</v>
      </c>
      <c r="Q6" s="32">
        <v>50</v>
      </c>
      <c r="R6" s="33">
        <v>1190</v>
      </c>
      <c r="S6" s="34">
        <v>1069</v>
      </c>
      <c r="T6" s="35">
        <f t="shared" si="4"/>
        <v>10.199999999999999</v>
      </c>
      <c r="U6" s="36" t="s">
        <v>52</v>
      </c>
      <c r="V6" s="41" t="s">
        <v>59</v>
      </c>
    </row>
    <row r="7" spans="1:22" ht="33.75" customHeight="1" x14ac:dyDescent="0.25">
      <c r="A7" s="38" t="s">
        <v>64</v>
      </c>
      <c r="B7" s="39" t="s">
        <v>65</v>
      </c>
      <c r="C7" s="40" t="s">
        <v>66</v>
      </c>
      <c r="D7" s="19">
        <v>50</v>
      </c>
      <c r="E7" s="20">
        <v>435</v>
      </c>
      <c r="F7" s="21">
        <v>370</v>
      </c>
      <c r="G7" s="22">
        <f t="shared" si="0"/>
        <v>14.9</v>
      </c>
      <c r="H7" s="23">
        <f t="shared" si="1"/>
        <v>7.4</v>
      </c>
      <c r="I7" s="24" t="s">
        <v>67</v>
      </c>
      <c r="J7" s="25" t="s">
        <v>51</v>
      </c>
      <c r="K7" s="26">
        <v>50</v>
      </c>
      <c r="L7" s="27">
        <v>435</v>
      </c>
      <c r="M7" s="28">
        <v>370</v>
      </c>
      <c r="N7" s="29">
        <f t="shared" si="2"/>
        <v>14.9</v>
      </c>
      <c r="O7" s="30">
        <f t="shared" si="3"/>
        <v>7.4</v>
      </c>
      <c r="P7" s="31" t="s">
        <v>51</v>
      </c>
      <c r="Q7" s="32">
        <v>50</v>
      </c>
      <c r="R7" s="33">
        <v>435</v>
      </c>
      <c r="S7" s="34">
        <v>392</v>
      </c>
      <c r="T7" s="35">
        <f t="shared" si="4"/>
        <v>9.9</v>
      </c>
      <c r="U7" s="36" t="s">
        <v>52</v>
      </c>
      <c r="V7" s="37" t="s">
        <v>53</v>
      </c>
    </row>
    <row r="8" spans="1:22" ht="33.75" customHeight="1" x14ac:dyDescent="0.25">
      <c r="A8" s="16" t="s">
        <v>68</v>
      </c>
      <c r="B8" s="17" t="s">
        <v>69</v>
      </c>
      <c r="C8" s="18" t="s">
        <v>70</v>
      </c>
      <c r="D8" s="19">
        <v>80</v>
      </c>
      <c r="E8" s="20">
        <v>395</v>
      </c>
      <c r="F8" s="21">
        <v>336</v>
      </c>
      <c r="G8" s="22">
        <f t="shared" si="0"/>
        <v>14.9</v>
      </c>
      <c r="H8" s="23">
        <f t="shared" si="1"/>
        <v>4.2</v>
      </c>
      <c r="I8" s="24" t="s">
        <v>71</v>
      </c>
      <c r="J8" s="25" t="s">
        <v>51</v>
      </c>
      <c r="K8" s="26">
        <v>80</v>
      </c>
      <c r="L8" s="27">
        <v>395</v>
      </c>
      <c r="M8" s="28">
        <v>336</v>
      </c>
      <c r="N8" s="29">
        <f t="shared" si="2"/>
        <v>14.9</v>
      </c>
      <c r="O8" s="30">
        <f t="shared" si="3"/>
        <v>4.2</v>
      </c>
      <c r="P8" s="31" t="s">
        <v>51</v>
      </c>
      <c r="Q8" s="32">
        <v>80</v>
      </c>
      <c r="R8" s="33">
        <v>395</v>
      </c>
      <c r="S8" s="34">
        <v>336</v>
      </c>
      <c r="T8" s="35">
        <f t="shared" si="4"/>
        <v>14.9</v>
      </c>
      <c r="U8" s="36" t="s">
        <v>52</v>
      </c>
      <c r="V8" s="37" t="s">
        <v>53</v>
      </c>
    </row>
    <row r="9" spans="1:22" ht="33.75" customHeight="1" x14ac:dyDescent="0.25">
      <c r="A9" s="38" t="s">
        <v>72</v>
      </c>
      <c r="B9" s="39" t="s">
        <v>69</v>
      </c>
      <c r="C9" s="40" t="s">
        <v>66</v>
      </c>
      <c r="D9" s="19">
        <v>80</v>
      </c>
      <c r="E9" s="20">
        <v>495</v>
      </c>
      <c r="F9" s="21">
        <v>426</v>
      </c>
      <c r="G9" s="22">
        <f t="shared" si="0"/>
        <v>13.9</v>
      </c>
      <c r="H9" s="23">
        <f t="shared" si="1"/>
        <v>5.33</v>
      </c>
      <c r="I9" s="24" t="s">
        <v>73</v>
      </c>
      <c r="J9" s="25" t="s">
        <v>51</v>
      </c>
      <c r="K9" s="26">
        <v>80</v>
      </c>
      <c r="L9" s="27">
        <v>495</v>
      </c>
      <c r="M9" s="28">
        <v>421</v>
      </c>
      <c r="N9" s="29">
        <f t="shared" si="2"/>
        <v>14.9</v>
      </c>
      <c r="O9" s="30">
        <f t="shared" si="3"/>
        <v>5.26</v>
      </c>
      <c r="P9" s="31" t="s">
        <v>51</v>
      </c>
      <c r="Q9" s="32">
        <v>80</v>
      </c>
      <c r="R9" s="33">
        <v>495</v>
      </c>
      <c r="S9" s="34">
        <v>421</v>
      </c>
      <c r="T9" s="35">
        <f t="shared" si="4"/>
        <v>14.9</v>
      </c>
      <c r="U9" s="36" t="s">
        <v>58</v>
      </c>
      <c r="V9" s="37" t="s">
        <v>53</v>
      </c>
    </row>
    <row r="10" spans="1:22" ht="33.75" customHeight="1" x14ac:dyDescent="0.25">
      <c r="A10" s="16" t="s">
        <v>74</v>
      </c>
      <c r="B10" s="17" t="s">
        <v>75</v>
      </c>
      <c r="C10" s="18" t="s">
        <v>76</v>
      </c>
      <c r="D10" s="19">
        <v>50</v>
      </c>
      <c r="E10" s="20">
        <v>950</v>
      </c>
      <c r="F10" s="21">
        <v>950</v>
      </c>
      <c r="G10" s="22">
        <f t="shared" si="0"/>
        <v>0</v>
      </c>
      <c r="H10" s="23">
        <f t="shared" si="1"/>
        <v>19</v>
      </c>
      <c r="I10" s="24" t="s">
        <v>77</v>
      </c>
      <c r="J10" s="42" t="s">
        <v>78</v>
      </c>
      <c r="K10" s="42"/>
      <c r="L10" s="42"/>
      <c r="M10" s="43"/>
      <c r="N10" s="44" t="s">
        <v>79</v>
      </c>
      <c r="O10" s="45" t="s">
        <v>79</v>
      </c>
      <c r="P10" s="42" t="s">
        <v>78</v>
      </c>
      <c r="Q10" s="42"/>
      <c r="R10" s="42"/>
      <c r="S10" s="43"/>
      <c r="T10" s="44" t="s">
        <v>79</v>
      </c>
      <c r="U10" s="36" t="s">
        <v>52</v>
      </c>
      <c r="V10" s="41" t="s">
        <v>59</v>
      </c>
    </row>
    <row r="11" spans="1:22" ht="33.75" customHeight="1" x14ac:dyDescent="0.25">
      <c r="A11" s="38" t="s">
        <v>80</v>
      </c>
      <c r="B11" s="39" t="s">
        <v>81</v>
      </c>
      <c r="C11" s="40" t="s">
        <v>82</v>
      </c>
      <c r="D11" s="19">
        <v>125</v>
      </c>
      <c r="E11" s="20">
        <v>499</v>
      </c>
      <c r="F11" s="21">
        <v>424</v>
      </c>
      <c r="G11" s="22">
        <f t="shared" si="0"/>
        <v>15</v>
      </c>
      <c r="H11" s="23">
        <f t="shared" si="1"/>
        <v>3.39</v>
      </c>
      <c r="I11" s="24" t="s">
        <v>83</v>
      </c>
      <c r="J11" s="25" t="s">
        <v>51</v>
      </c>
      <c r="K11" s="26">
        <v>125</v>
      </c>
      <c r="L11" s="27">
        <v>499</v>
      </c>
      <c r="M11" s="28">
        <v>449</v>
      </c>
      <c r="N11" s="29">
        <f>ROUND((1-M11/L11)*100,1)</f>
        <v>10</v>
      </c>
      <c r="O11" s="30">
        <f>ROUND(M11/K11,2)</f>
        <v>3.59</v>
      </c>
      <c r="P11" s="31" t="s">
        <v>51</v>
      </c>
      <c r="Q11" s="32">
        <v>125</v>
      </c>
      <c r="R11" s="33">
        <v>499</v>
      </c>
      <c r="S11" s="34">
        <v>449</v>
      </c>
      <c r="T11" s="35">
        <f>ROUND((1-S11/R11)*100,1)</f>
        <v>10</v>
      </c>
      <c r="U11" s="36" t="s">
        <v>52</v>
      </c>
      <c r="V11" s="37" t="s">
        <v>53</v>
      </c>
    </row>
    <row r="12" spans="1:22" ht="33.75" customHeight="1" x14ac:dyDescent="0.25">
      <c r="A12" s="16" t="s">
        <v>84</v>
      </c>
      <c r="B12" s="17" t="s">
        <v>85</v>
      </c>
      <c r="C12" s="18" t="s">
        <v>86</v>
      </c>
      <c r="D12" s="19">
        <v>40</v>
      </c>
      <c r="E12" s="20">
        <v>799</v>
      </c>
      <c r="F12" s="21">
        <v>799</v>
      </c>
      <c r="G12" s="22">
        <f t="shared" si="0"/>
        <v>0</v>
      </c>
      <c r="H12" s="23">
        <f t="shared" si="1"/>
        <v>19.98</v>
      </c>
      <c r="I12" s="24" t="s">
        <v>87</v>
      </c>
      <c r="J12" s="42" t="s">
        <v>78</v>
      </c>
      <c r="K12" s="42"/>
      <c r="L12" s="42"/>
      <c r="M12" s="43"/>
      <c r="N12" s="44" t="s">
        <v>79</v>
      </c>
      <c r="O12" s="45" t="s">
        <v>79</v>
      </c>
      <c r="P12" s="42" t="s">
        <v>78</v>
      </c>
      <c r="Q12" s="42"/>
      <c r="R12" s="42"/>
      <c r="S12" s="43"/>
      <c r="T12" s="44" t="s">
        <v>79</v>
      </c>
      <c r="U12" s="36" t="s">
        <v>52</v>
      </c>
      <c r="V12" s="41" t="s">
        <v>59</v>
      </c>
    </row>
    <row r="13" spans="1:22" ht="33.75" customHeight="1" x14ac:dyDescent="0.25">
      <c r="A13" s="38" t="s">
        <v>88</v>
      </c>
      <c r="B13" s="39" t="s">
        <v>89</v>
      </c>
      <c r="C13" s="40" t="s">
        <v>90</v>
      </c>
      <c r="D13" s="19">
        <v>50</v>
      </c>
      <c r="E13" s="20">
        <v>525</v>
      </c>
      <c r="F13" s="21">
        <v>473</v>
      </c>
      <c r="G13" s="22">
        <f t="shared" si="0"/>
        <v>9.9</v>
      </c>
      <c r="H13" s="23">
        <f t="shared" si="1"/>
        <v>9.4600000000000009</v>
      </c>
      <c r="I13" s="24" t="s">
        <v>91</v>
      </c>
      <c r="J13" s="25" t="s">
        <v>51</v>
      </c>
      <c r="K13" s="26">
        <v>50</v>
      </c>
      <c r="L13" s="27">
        <v>525</v>
      </c>
      <c r="M13" s="28">
        <v>499</v>
      </c>
      <c r="N13" s="29">
        <f>ROUND((1-M13/L13)*100,1)</f>
        <v>5</v>
      </c>
      <c r="O13" s="30">
        <f>ROUND(M13/K13,2)</f>
        <v>9.98</v>
      </c>
      <c r="P13" s="31" t="s">
        <v>51</v>
      </c>
      <c r="Q13" s="32">
        <v>50</v>
      </c>
      <c r="R13" s="33">
        <v>525</v>
      </c>
      <c r="S13" s="34">
        <v>499</v>
      </c>
      <c r="T13" s="35">
        <f>ROUND((1-S13/R13)*100,1)</f>
        <v>5</v>
      </c>
      <c r="U13" s="36" t="s">
        <v>52</v>
      </c>
      <c r="V13" s="37" t="s">
        <v>53</v>
      </c>
    </row>
    <row r="15" spans="1:22" ht="15.75" customHeight="1" x14ac:dyDescent="0.25">
      <c r="A15" s="54" t="s">
        <v>92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</row>
  </sheetData>
  <autoFilter ref="A3:V13" xr:uid="{00000000-0009-0000-0000-000001000000}"/>
  <mergeCells count="7">
    <mergeCell ref="A15:V15"/>
    <mergeCell ref="A1:V1"/>
    <mergeCell ref="A2:C2"/>
    <mergeCell ref="D2:I2"/>
    <mergeCell ref="J2:O2"/>
    <mergeCell ref="P2:T2"/>
    <mergeCell ref="U2:V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"/>
  <sheetViews>
    <sheetView tabSelected="1" zoomScaleNormal="100" workbookViewId="0">
      <pane xSplit="3" ySplit="3" topLeftCell="P4" activePane="bottomRight" state="frozen"/>
      <selection pane="topRight" activeCell="D1" sqref="D1"/>
      <selection pane="bottomLeft" activeCell="A4" sqref="A4"/>
      <selection pane="bottomRight" activeCell="Z10" sqref="Z10"/>
    </sheetView>
  </sheetViews>
  <sheetFormatPr defaultColWidth="8.7109375" defaultRowHeight="15" x14ac:dyDescent="0.25"/>
  <cols>
    <col min="1" max="1" width="36" customWidth="1"/>
    <col min="2" max="2" width="14" customWidth="1"/>
    <col min="3" max="3" width="20" customWidth="1"/>
    <col min="4" max="6" width="11" customWidth="1"/>
    <col min="7" max="7" width="9" customWidth="1"/>
    <col min="8" max="8" width="14" customWidth="1"/>
    <col min="9" max="9" width="17" customWidth="1"/>
    <col min="10" max="10" width="10" customWidth="1"/>
    <col min="11" max="13" width="11" customWidth="1"/>
    <col min="14" max="14" width="9" customWidth="1"/>
    <col min="15" max="15" width="15" customWidth="1"/>
    <col min="16" max="16" width="10" customWidth="1"/>
    <col min="17" max="19" width="11" customWidth="1"/>
    <col min="20" max="20" width="9" customWidth="1"/>
    <col min="21" max="21" width="13" customWidth="1"/>
    <col min="22" max="22" width="14" customWidth="1"/>
  </cols>
  <sheetData>
    <row r="1" spans="1:22" ht="27.75" customHeight="1" x14ac:dyDescent="0.25">
      <c r="A1" s="55" t="s">
        <v>93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22" ht="19.5" customHeight="1" x14ac:dyDescent="0.25">
      <c r="A2" s="56" t="s">
        <v>21</v>
      </c>
      <c r="B2" s="56"/>
      <c r="C2" s="56"/>
      <c r="D2" s="57" t="s">
        <v>22</v>
      </c>
      <c r="E2" s="57"/>
      <c r="F2" s="57"/>
      <c r="G2" s="57"/>
      <c r="H2" s="57"/>
      <c r="I2" s="57"/>
      <c r="J2" s="58" t="s">
        <v>23</v>
      </c>
      <c r="K2" s="58"/>
      <c r="L2" s="58"/>
      <c r="M2" s="58"/>
      <c r="N2" s="58"/>
      <c r="O2" s="58"/>
      <c r="P2" s="59" t="s">
        <v>24</v>
      </c>
      <c r="Q2" s="59"/>
      <c r="R2" s="59"/>
      <c r="S2" s="59"/>
      <c r="T2" s="59"/>
      <c r="U2" s="60" t="s">
        <v>25</v>
      </c>
      <c r="V2" s="60"/>
    </row>
    <row r="3" spans="1:22" ht="33.75" customHeight="1" x14ac:dyDescent="0.25">
      <c r="A3" s="11" t="s">
        <v>26</v>
      </c>
      <c r="B3" s="11" t="s">
        <v>27</v>
      </c>
      <c r="C3" s="11" t="s">
        <v>2</v>
      </c>
      <c r="D3" s="12" t="s">
        <v>94</v>
      </c>
      <c r="E3" s="12" t="s">
        <v>29</v>
      </c>
      <c r="F3" s="12" t="s">
        <v>30</v>
      </c>
      <c r="G3" s="12" t="s">
        <v>31</v>
      </c>
      <c r="H3" s="12" t="s">
        <v>95</v>
      </c>
      <c r="I3" s="12" t="s">
        <v>33</v>
      </c>
      <c r="J3" s="13" t="s">
        <v>34</v>
      </c>
      <c r="K3" s="13" t="s">
        <v>96</v>
      </c>
      <c r="L3" s="13" t="s">
        <v>36</v>
      </c>
      <c r="M3" s="13" t="s">
        <v>37</v>
      </c>
      <c r="N3" s="13" t="s">
        <v>38</v>
      </c>
      <c r="O3" s="13" t="s">
        <v>97</v>
      </c>
      <c r="P3" s="14" t="s">
        <v>40</v>
      </c>
      <c r="Q3" s="14" t="s">
        <v>98</v>
      </c>
      <c r="R3" s="14" t="s">
        <v>42</v>
      </c>
      <c r="S3" s="14" t="s">
        <v>43</v>
      </c>
      <c r="T3" s="14" t="s">
        <v>44</v>
      </c>
      <c r="U3" s="15" t="s">
        <v>45</v>
      </c>
      <c r="V3" s="15" t="s">
        <v>46</v>
      </c>
    </row>
    <row r="4" spans="1:22" ht="33.75" customHeight="1" x14ac:dyDescent="0.25">
      <c r="A4" s="16" t="s">
        <v>99</v>
      </c>
      <c r="B4" s="17" t="s">
        <v>65</v>
      </c>
      <c r="C4" s="18" t="s">
        <v>100</v>
      </c>
      <c r="D4" s="46">
        <v>0.35</v>
      </c>
      <c r="E4" s="20">
        <v>350</v>
      </c>
      <c r="F4" s="21">
        <v>298</v>
      </c>
      <c r="G4" s="22">
        <f t="shared" ref="G4:G13" si="0">ROUND((1-F4/E4)*100,1)</f>
        <v>14.9</v>
      </c>
      <c r="H4" s="47">
        <f t="shared" ref="H4:H13" si="1">ROUND(F4/D4,2)</f>
        <v>851.43</v>
      </c>
      <c r="I4" s="24" t="s">
        <v>101</v>
      </c>
      <c r="J4" s="25" t="s">
        <v>51</v>
      </c>
      <c r="K4" s="48">
        <v>0.35</v>
      </c>
      <c r="L4" s="27">
        <v>350</v>
      </c>
      <c r="M4" s="28">
        <v>315</v>
      </c>
      <c r="N4" s="29">
        <f>ROUND((1-M4/L4)*100,1)</f>
        <v>10</v>
      </c>
      <c r="O4" s="49">
        <f>ROUND(M4/K4,2)</f>
        <v>900</v>
      </c>
      <c r="P4" s="31" t="s">
        <v>51</v>
      </c>
      <c r="Q4" s="50">
        <v>0.35</v>
      </c>
      <c r="R4" s="33">
        <v>350</v>
      </c>
      <c r="S4" s="34">
        <v>315</v>
      </c>
      <c r="T4" s="35">
        <f>ROUND((1-S4/R4)*100,1)</f>
        <v>10</v>
      </c>
      <c r="U4" s="36" t="s">
        <v>52</v>
      </c>
      <c r="V4" s="37" t="s">
        <v>53</v>
      </c>
    </row>
    <row r="5" spans="1:22" ht="33.75" customHeight="1" x14ac:dyDescent="0.25">
      <c r="A5" s="38" t="s">
        <v>102</v>
      </c>
      <c r="B5" s="39" t="s">
        <v>103</v>
      </c>
      <c r="C5" s="40" t="s">
        <v>104</v>
      </c>
      <c r="D5" s="46">
        <v>0.35</v>
      </c>
      <c r="E5" s="20">
        <v>220</v>
      </c>
      <c r="F5" s="21">
        <v>198</v>
      </c>
      <c r="G5" s="22">
        <f t="shared" si="0"/>
        <v>10</v>
      </c>
      <c r="H5" s="47">
        <f t="shared" si="1"/>
        <v>565.71</v>
      </c>
      <c r="I5" s="24" t="s">
        <v>105</v>
      </c>
      <c r="J5" s="25" t="s">
        <v>51</v>
      </c>
      <c r="K5" s="48">
        <v>0.35</v>
      </c>
      <c r="L5" s="27">
        <v>220</v>
      </c>
      <c r="M5" s="28">
        <v>198</v>
      </c>
      <c r="N5" s="29">
        <f>ROUND((1-M5/L5)*100,1)</f>
        <v>10</v>
      </c>
      <c r="O5" s="49">
        <f>ROUND(M5/K5,2)</f>
        <v>565.71</v>
      </c>
      <c r="P5" s="31" t="s">
        <v>51</v>
      </c>
      <c r="Q5" s="50">
        <v>0.35</v>
      </c>
      <c r="R5" s="33">
        <v>220</v>
      </c>
      <c r="S5" s="34">
        <v>198</v>
      </c>
      <c r="T5" s="35">
        <f>ROUND((1-S5/R5)*100,1)</f>
        <v>10</v>
      </c>
      <c r="U5" s="36" t="s">
        <v>52</v>
      </c>
      <c r="V5" s="37" t="s">
        <v>53</v>
      </c>
    </row>
    <row r="6" spans="1:22" ht="33.75" customHeight="1" x14ac:dyDescent="0.25">
      <c r="A6" s="16" t="s">
        <v>106</v>
      </c>
      <c r="B6" s="17" t="s">
        <v>107</v>
      </c>
      <c r="C6" s="18" t="s">
        <v>108</v>
      </c>
      <c r="D6" s="46">
        <v>0.35</v>
      </c>
      <c r="E6" s="20">
        <v>249</v>
      </c>
      <c r="F6" s="21">
        <v>189</v>
      </c>
      <c r="G6" s="22">
        <f t="shared" si="0"/>
        <v>24.1</v>
      </c>
      <c r="H6" s="47">
        <f t="shared" si="1"/>
        <v>540</v>
      </c>
      <c r="I6" s="24" t="s">
        <v>109</v>
      </c>
      <c r="J6" s="42" t="s">
        <v>78</v>
      </c>
      <c r="K6" s="42"/>
      <c r="L6" s="42"/>
      <c r="M6" s="43"/>
      <c r="N6" s="44" t="s">
        <v>79</v>
      </c>
      <c r="O6" s="45" t="s">
        <v>79</v>
      </c>
      <c r="P6" s="42" t="s">
        <v>78</v>
      </c>
      <c r="Q6" s="42"/>
      <c r="R6" s="42"/>
      <c r="S6" s="43"/>
      <c r="T6" s="44" t="s">
        <v>79</v>
      </c>
      <c r="U6" s="36" t="s">
        <v>52</v>
      </c>
      <c r="V6" s="37" t="s">
        <v>53</v>
      </c>
    </row>
    <row r="7" spans="1:22" ht="33.75" customHeight="1" x14ac:dyDescent="0.25">
      <c r="A7" s="38" t="s">
        <v>110</v>
      </c>
      <c r="B7" s="39" t="s">
        <v>111</v>
      </c>
      <c r="C7" s="40" t="s">
        <v>112</v>
      </c>
      <c r="D7" s="46">
        <v>0.35</v>
      </c>
      <c r="E7" s="20">
        <v>199</v>
      </c>
      <c r="F7" s="21">
        <v>139</v>
      </c>
      <c r="G7" s="22">
        <f t="shared" si="0"/>
        <v>30.2</v>
      </c>
      <c r="H7" s="47">
        <f t="shared" si="1"/>
        <v>397.14</v>
      </c>
      <c r="I7" s="24" t="s">
        <v>113</v>
      </c>
      <c r="J7" s="42" t="s">
        <v>78</v>
      </c>
      <c r="K7" s="42"/>
      <c r="L7" s="42"/>
      <c r="M7" s="43"/>
      <c r="N7" s="44" t="s">
        <v>79</v>
      </c>
      <c r="O7" s="45" t="s">
        <v>79</v>
      </c>
      <c r="P7" s="42" t="s">
        <v>78</v>
      </c>
      <c r="Q7" s="42"/>
      <c r="R7" s="42"/>
      <c r="S7" s="43"/>
      <c r="T7" s="44" t="s">
        <v>79</v>
      </c>
      <c r="U7" s="36" t="s">
        <v>52</v>
      </c>
      <c r="V7" s="37" t="s">
        <v>53</v>
      </c>
    </row>
    <row r="8" spans="1:22" ht="33.75" customHeight="1" x14ac:dyDescent="0.25">
      <c r="A8" s="16" t="s">
        <v>114</v>
      </c>
      <c r="B8" s="17" t="s">
        <v>115</v>
      </c>
      <c r="C8" s="18" t="s">
        <v>116</v>
      </c>
      <c r="D8" s="46">
        <v>0.35</v>
      </c>
      <c r="E8" s="20">
        <v>399</v>
      </c>
      <c r="F8" s="21">
        <v>399</v>
      </c>
      <c r="G8" s="22">
        <f t="shared" si="0"/>
        <v>0</v>
      </c>
      <c r="H8" s="47">
        <f t="shared" si="1"/>
        <v>1140</v>
      </c>
      <c r="I8" s="24" t="s">
        <v>117</v>
      </c>
      <c r="J8" s="42" t="s">
        <v>78</v>
      </c>
      <c r="K8" s="42"/>
      <c r="L8" s="42"/>
      <c r="M8" s="43"/>
      <c r="N8" s="44" t="s">
        <v>79</v>
      </c>
      <c r="O8" s="45" t="s">
        <v>79</v>
      </c>
      <c r="P8" s="42" t="s">
        <v>78</v>
      </c>
      <c r="Q8" s="42"/>
      <c r="R8" s="42"/>
      <c r="S8" s="43"/>
      <c r="T8" s="44" t="s">
        <v>79</v>
      </c>
      <c r="U8" s="36" t="s">
        <v>52</v>
      </c>
      <c r="V8" s="41" t="s">
        <v>59</v>
      </c>
    </row>
    <row r="9" spans="1:22" ht="33.75" customHeight="1" x14ac:dyDescent="0.25">
      <c r="A9" s="38" t="s">
        <v>118</v>
      </c>
      <c r="B9" s="39" t="s">
        <v>119</v>
      </c>
      <c r="C9" s="40" t="s">
        <v>120</v>
      </c>
      <c r="D9" s="46">
        <v>0.2</v>
      </c>
      <c r="E9" s="20">
        <v>450</v>
      </c>
      <c r="F9" s="21">
        <v>399</v>
      </c>
      <c r="G9" s="22">
        <f t="shared" si="0"/>
        <v>11.3</v>
      </c>
      <c r="H9" s="47">
        <f t="shared" si="1"/>
        <v>1995</v>
      </c>
      <c r="I9" s="24" t="s">
        <v>121</v>
      </c>
      <c r="J9" s="42" t="s">
        <v>78</v>
      </c>
      <c r="K9" s="42"/>
      <c r="L9" s="42"/>
      <c r="M9" s="43"/>
      <c r="N9" s="44" t="s">
        <v>79</v>
      </c>
      <c r="O9" s="45" t="s">
        <v>79</v>
      </c>
      <c r="P9" s="42" t="s">
        <v>78</v>
      </c>
      <c r="Q9" s="42"/>
      <c r="R9" s="42"/>
      <c r="S9" s="43"/>
      <c r="T9" s="44" t="s">
        <v>79</v>
      </c>
      <c r="U9" s="36" t="s">
        <v>52</v>
      </c>
      <c r="V9" s="41" t="s">
        <v>59</v>
      </c>
    </row>
    <row r="10" spans="1:22" ht="33.75" customHeight="1" x14ac:dyDescent="0.25">
      <c r="A10" s="16" t="s">
        <v>122</v>
      </c>
      <c r="B10" s="17" t="s">
        <v>65</v>
      </c>
      <c r="C10" s="18" t="s">
        <v>123</v>
      </c>
      <c r="D10" s="46">
        <v>0.7</v>
      </c>
      <c r="E10" s="20">
        <v>450</v>
      </c>
      <c r="F10" s="21">
        <v>383</v>
      </c>
      <c r="G10" s="22">
        <f t="shared" si="0"/>
        <v>14.9</v>
      </c>
      <c r="H10" s="47">
        <f t="shared" si="1"/>
        <v>547.14</v>
      </c>
      <c r="I10" s="24" t="s">
        <v>124</v>
      </c>
      <c r="J10" s="25" t="s">
        <v>51</v>
      </c>
      <c r="K10" s="48">
        <v>0.35</v>
      </c>
      <c r="L10" s="27">
        <v>299</v>
      </c>
      <c r="M10" s="28">
        <v>269</v>
      </c>
      <c r="N10" s="29">
        <f>ROUND((1-M10/L10)*100,1)</f>
        <v>10</v>
      </c>
      <c r="O10" s="49">
        <f>ROUND(M10/K10,2)</f>
        <v>768.57</v>
      </c>
      <c r="P10" s="31" t="s">
        <v>51</v>
      </c>
      <c r="Q10" s="50">
        <v>0.35</v>
      </c>
      <c r="R10" s="33">
        <v>299</v>
      </c>
      <c r="S10" s="34">
        <v>269</v>
      </c>
      <c r="T10" s="35">
        <f>ROUND((1-S10/R10)*100,1)</f>
        <v>10</v>
      </c>
      <c r="U10" s="36" t="s">
        <v>58</v>
      </c>
      <c r="V10" s="41" t="s">
        <v>59</v>
      </c>
    </row>
    <row r="11" spans="1:22" ht="33.75" customHeight="1" x14ac:dyDescent="0.25">
      <c r="A11" s="38" t="s">
        <v>125</v>
      </c>
      <c r="B11" s="39" t="s">
        <v>115</v>
      </c>
      <c r="C11" s="40" t="s">
        <v>126</v>
      </c>
      <c r="D11" s="46">
        <v>0.35</v>
      </c>
      <c r="E11" s="20">
        <v>329</v>
      </c>
      <c r="F11" s="21">
        <v>329</v>
      </c>
      <c r="G11" s="22">
        <f t="shared" si="0"/>
        <v>0</v>
      </c>
      <c r="H11" s="47">
        <f t="shared" si="1"/>
        <v>940</v>
      </c>
      <c r="I11" s="24" t="s">
        <v>127</v>
      </c>
      <c r="J11" s="42" t="s">
        <v>78</v>
      </c>
      <c r="K11" s="42"/>
      <c r="L11" s="42"/>
      <c r="M11" s="43"/>
      <c r="N11" s="44" t="s">
        <v>79</v>
      </c>
      <c r="O11" s="45" t="s">
        <v>79</v>
      </c>
      <c r="P11" s="42" t="s">
        <v>78</v>
      </c>
      <c r="Q11" s="42"/>
      <c r="R11" s="42"/>
      <c r="S11" s="43"/>
      <c r="T11" s="44" t="s">
        <v>79</v>
      </c>
      <c r="U11" s="36" t="s">
        <v>52</v>
      </c>
      <c r="V11" s="41" t="s">
        <v>59</v>
      </c>
    </row>
    <row r="12" spans="1:22" ht="33.75" customHeight="1" x14ac:dyDescent="0.25">
      <c r="A12" s="16" t="s">
        <v>128</v>
      </c>
      <c r="B12" s="17" t="s">
        <v>89</v>
      </c>
      <c r="C12" s="18" t="s">
        <v>129</v>
      </c>
      <c r="D12" s="46">
        <v>0.3</v>
      </c>
      <c r="E12" s="20">
        <v>499</v>
      </c>
      <c r="F12" s="21">
        <v>424</v>
      </c>
      <c r="G12" s="22">
        <f t="shared" si="0"/>
        <v>15</v>
      </c>
      <c r="H12" s="47">
        <f t="shared" si="1"/>
        <v>1413.33</v>
      </c>
      <c r="I12" s="24" t="s">
        <v>130</v>
      </c>
      <c r="J12" s="42" t="s">
        <v>78</v>
      </c>
      <c r="K12" s="42"/>
      <c r="L12" s="42"/>
      <c r="M12" s="43"/>
      <c r="N12" s="44" t="s">
        <v>79</v>
      </c>
      <c r="O12" s="45" t="s">
        <v>79</v>
      </c>
      <c r="P12" s="42" t="s">
        <v>78</v>
      </c>
      <c r="Q12" s="42"/>
      <c r="R12" s="42"/>
      <c r="S12" s="43"/>
      <c r="T12" s="44" t="s">
        <v>79</v>
      </c>
      <c r="U12" s="36" t="s">
        <v>52</v>
      </c>
      <c r="V12" s="41" t="s">
        <v>59</v>
      </c>
    </row>
    <row r="13" spans="1:22" ht="33.75" customHeight="1" x14ac:dyDescent="0.25">
      <c r="A13" s="38" t="s">
        <v>131</v>
      </c>
      <c r="B13" s="39" t="s">
        <v>65</v>
      </c>
      <c r="C13" s="40" t="s">
        <v>132</v>
      </c>
      <c r="D13" s="46">
        <v>0.35</v>
      </c>
      <c r="E13" s="20">
        <v>899</v>
      </c>
      <c r="F13" s="21">
        <v>809</v>
      </c>
      <c r="G13" s="22">
        <f t="shared" si="0"/>
        <v>10</v>
      </c>
      <c r="H13" s="47">
        <f t="shared" si="1"/>
        <v>2311.4299999999998</v>
      </c>
      <c r="I13" s="24" t="s">
        <v>133</v>
      </c>
      <c r="J13" s="25" t="s">
        <v>51</v>
      </c>
      <c r="K13" s="48">
        <v>0.35</v>
      </c>
      <c r="L13" s="27">
        <v>899</v>
      </c>
      <c r="M13" s="28">
        <v>809</v>
      </c>
      <c r="N13" s="29">
        <f>ROUND((1-M13/L13)*100,1)</f>
        <v>10</v>
      </c>
      <c r="O13" s="49">
        <f>ROUND(M13/K13,2)</f>
        <v>2311.4299999999998</v>
      </c>
      <c r="P13" s="42" t="s">
        <v>78</v>
      </c>
      <c r="Q13" s="42"/>
      <c r="R13" s="42"/>
      <c r="S13" s="43"/>
      <c r="T13" s="44" t="s">
        <v>79</v>
      </c>
      <c r="U13" s="36" t="s">
        <v>52</v>
      </c>
      <c r="V13" s="41" t="s">
        <v>59</v>
      </c>
    </row>
    <row r="15" spans="1:22" ht="15.75" customHeight="1" x14ac:dyDescent="0.25">
      <c r="A15" s="54" t="s">
        <v>92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</row>
  </sheetData>
  <autoFilter ref="A3:V13" xr:uid="{00000000-0009-0000-0000-000002000000}"/>
  <mergeCells count="7">
    <mergeCell ref="A15:V15"/>
    <mergeCell ref="A1:V1"/>
    <mergeCell ref="A2:C2"/>
    <mergeCell ref="D2:I2"/>
    <mergeCell ref="J2:O2"/>
    <mergeCell ref="P2:T2"/>
    <mergeCell ref="U2:V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5"/>
  <sheetViews>
    <sheetView zoomScaleNormal="100" workbookViewId="0">
      <pane xSplit="3" ySplit="3" topLeftCell="J4" activePane="bottomRight" state="frozen"/>
      <selection pane="topRight" activeCell="D1" sqref="D1"/>
      <selection pane="bottomLeft" activeCell="A4" sqref="A4"/>
      <selection pane="bottomRight" sqref="A1:V13"/>
    </sheetView>
  </sheetViews>
  <sheetFormatPr defaultColWidth="8.7109375" defaultRowHeight="15" x14ac:dyDescent="0.25"/>
  <cols>
    <col min="1" max="1" width="35" bestFit="1" customWidth="1"/>
    <col min="2" max="2" width="11.140625" bestFit="1" customWidth="1"/>
    <col min="3" max="3" width="19.7109375" bestFit="1" customWidth="1"/>
    <col min="4" max="4" width="12.42578125" bestFit="1" customWidth="1"/>
    <col min="5" max="5" width="11.42578125" bestFit="1" customWidth="1"/>
    <col min="6" max="6" width="12" bestFit="1" customWidth="1"/>
    <col min="7" max="7" width="10.5703125" bestFit="1" customWidth="1"/>
    <col min="8" max="8" width="10.140625" bestFit="1" customWidth="1"/>
    <col min="9" max="9" width="15.42578125" bestFit="1" customWidth="1"/>
    <col min="10" max="10" width="12.5703125" bestFit="1" customWidth="1"/>
    <col min="11" max="11" width="12.42578125" bestFit="1" customWidth="1"/>
    <col min="12" max="12" width="11.42578125" bestFit="1" customWidth="1"/>
    <col min="13" max="13" width="12" bestFit="1" customWidth="1"/>
    <col min="14" max="14" width="10.5703125" bestFit="1" customWidth="1"/>
    <col min="15" max="15" width="10.42578125" bestFit="1" customWidth="1"/>
    <col min="16" max="16" width="12.5703125" bestFit="1" customWidth="1"/>
    <col min="17" max="17" width="12.42578125" bestFit="1" customWidth="1"/>
    <col min="18" max="18" width="11.42578125" bestFit="1" customWidth="1"/>
    <col min="19" max="19" width="12" bestFit="1" customWidth="1"/>
    <col min="20" max="20" width="10.5703125" bestFit="1" customWidth="1"/>
    <col min="21" max="21" width="13.5703125" bestFit="1" customWidth="1"/>
    <col min="22" max="22" width="16.7109375" bestFit="1" customWidth="1"/>
  </cols>
  <sheetData>
    <row r="1" spans="1:22" ht="27.75" customHeight="1" x14ac:dyDescent="0.25">
      <c r="A1" s="55" t="s">
        <v>134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22" ht="19.5" customHeight="1" x14ac:dyDescent="0.25">
      <c r="A2" s="56" t="s">
        <v>21</v>
      </c>
      <c r="B2" s="56"/>
      <c r="C2" s="56"/>
      <c r="D2" s="57" t="s">
        <v>22</v>
      </c>
      <c r="E2" s="57"/>
      <c r="F2" s="57"/>
      <c r="G2" s="57"/>
      <c r="H2" s="57"/>
      <c r="I2" s="57"/>
      <c r="J2" s="58" t="s">
        <v>23</v>
      </c>
      <c r="K2" s="58"/>
      <c r="L2" s="58"/>
      <c r="M2" s="58"/>
      <c r="N2" s="58"/>
      <c r="O2" s="58"/>
      <c r="P2" s="59" t="s">
        <v>24</v>
      </c>
      <c r="Q2" s="59"/>
      <c r="R2" s="59"/>
      <c r="S2" s="59"/>
      <c r="T2" s="59"/>
      <c r="U2" s="60" t="s">
        <v>25</v>
      </c>
      <c r="V2" s="60"/>
    </row>
    <row r="3" spans="1:22" ht="33.75" customHeight="1" x14ac:dyDescent="0.25">
      <c r="A3" s="11" t="s">
        <v>26</v>
      </c>
      <c r="B3" s="11" t="s">
        <v>27</v>
      </c>
      <c r="C3" s="11" t="s">
        <v>2</v>
      </c>
      <c r="D3" s="12" t="s">
        <v>28</v>
      </c>
      <c r="E3" s="12" t="s">
        <v>29</v>
      </c>
      <c r="F3" s="12" t="s">
        <v>30</v>
      </c>
      <c r="G3" s="12" t="s">
        <v>31</v>
      </c>
      <c r="H3" s="12" t="s">
        <v>32</v>
      </c>
      <c r="I3" s="12" t="s">
        <v>33</v>
      </c>
      <c r="J3" s="13" t="s">
        <v>34</v>
      </c>
      <c r="K3" s="13" t="s">
        <v>35</v>
      </c>
      <c r="L3" s="13" t="s">
        <v>36</v>
      </c>
      <c r="M3" s="13" t="s">
        <v>37</v>
      </c>
      <c r="N3" s="13" t="s">
        <v>38</v>
      </c>
      <c r="O3" s="13" t="s">
        <v>39</v>
      </c>
      <c r="P3" s="14" t="s">
        <v>40</v>
      </c>
      <c r="Q3" s="14" t="s">
        <v>41</v>
      </c>
      <c r="R3" s="14" t="s">
        <v>42</v>
      </c>
      <c r="S3" s="14" t="s">
        <v>43</v>
      </c>
      <c r="T3" s="14" t="s">
        <v>44</v>
      </c>
      <c r="U3" s="15" t="s">
        <v>45</v>
      </c>
      <c r="V3" s="15" t="s">
        <v>46</v>
      </c>
    </row>
    <row r="4" spans="1:22" ht="33.75" customHeight="1" x14ac:dyDescent="0.25">
      <c r="A4" s="16" t="s">
        <v>135</v>
      </c>
      <c r="B4" s="17" t="s">
        <v>136</v>
      </c>
      <c r="C4" s="18" t="s">
        <v>137</v>
      </c>
      <c r="D4" s="19">
        <v>580</v>
      </c>
      <c r="E4" s="20">
        <v>1370</v>
      </c>
      <c r="F4" s="21">
        <v>548</v>
      </c>
      <c r="G4" s="22">
        <f t="shared" ref="G4:G13" si="0">ROUND((1-F4/E4)*100,1)</f>
        <v>60</v>
      </c>
      <c r="H4" s="23">
        <f t="shared" ref="H4:H13" si="1">ROUND(F4/D4,2)</f>
        <v>0.94</v>
      </c>
      <c r="I4" s="24" t="s">
        <v>138</v>
      </c>
      <c r="J4" s="25" t="s">
        <v>51</v>
      </c>
      <c r="K4" s="26">
        <v>580</v>
      </c>
      <c r="L4" s="27">
        <v>1370</v>
      </c>
      <c r="M4" s="28">
        <v>548</v>
      </c>
      <c r="N4" s="29">
        <f>ROUND((1-M4/L4)*100,1)</f>
        <v>60</v>
      </c>
      <c r="O4" s="30">
        <f>ROUND(M4/K4,2)</f>
        <v>0.94</v>
      </c>
      <c r="P4" s="31" t="s">
        <v>51</v>
      </c>
      <c r="Q4" s="32">
        <v>580</v>
      </c>
      <c r="R4" s="33">
        <v>1370</v>
      </c>
      <c r="S4" s="34">
        <v>548</v>
      </c>
      <c r="T4" s="35">
        <f t="shared" ref="T4:T9" si="2">ROUND((1-S4/R4)*100,1)</f>
        <v>60</v>
      </c>
      <c r="U4" s="36" t="s">
        <v>52</v>
      </c>
      <c r="V4" s="37" t="s">
        <v>53</v>
      </c>
    </row>
    <row r="5" spans="1:22" ht="33.75" customHeight="1" x14ac:dyDescent="0.25">
      <c r="A5" s="38" t="s">
        <v>139</v>
      </c>
      <c r="B5" s="39" t="s">
        <v>140</v>
      </c>
      <c r="C5" s="40" t="s">
        <v>141</v>
      </c>
      <c r="D5" s="19">
        <v>400</v>
      </c>
      <c r="E5" s="20">
        <v>1099</v>
      </c>
      <c r="F5" s="21">
        <v>824</v>
      </c>
      <c r="G5" s="22">
        <f t="shared" si="0"/>
        <v>25</v>
      </c>
      <c r="H5" s="23">
        <f t="shared" si="1"/>
        <v>2.06</v>
      </c>
      <c r="I5" s="24" t="s">
        <v>142</v>
      </c>
      <c r="J5" s="25" t="s">
        <v>51</v>
      </c>
      <c r="K5" s="26">
        <v>400</v>
      </c>
      <c r="L5" s="27">
        <v>1099</v>
      </c>
      <c r="M5" s="28">
        <v>824</v>
      </c>
      <c r="N5" s="29">
        <f>ROUND((1-M5/L5)*100,1)</f>
        <v>25</v>
      </c>
      <c r="O5" s="30">
        <f>ROUND(M5/K5,2)</f>
        <v>2.06</v>
      </c>
      <c r="P5" s="31" t="s">
        <v>51</v>
      </c>
      <c r="Q5" s="32">
        <v>400</v>
      </c>
      <c r="R5" s="33">
        <v>1099</v>
      </c>
      <c r="S5" s="34">
        <v>824</v>
      </c>
      <c r="T5" s="35">
        <f t="shared" si="2"/>
        <v>25</v>
      </c>
      <c r="U5" s="36" t="s">
        <v>52</v>
      </c>
      <c r="V5" s="41" t="s">
        <v>59</v>
      </c>
    </row>
    <row r="6" spans="1:22" ht="33.75" customHeight="1" x14ac:dyDescent="0.25">
      <c r="A6" s="16" t="s">
        <v>143</v>
      </c>
      <c r="B6" s="17" t="s">
        <v>144</v>
      </c>
      <c r="C6" s="18" t="s">
        <v>145</v>
      </c>
      <c r="D6" s="19">
        <v>390</v>
      </c>
      <c r="E6" s="20">
        <v>1315</v>
      </c>
      <c r="F6" s="21">
        <v>723</v>
      </c>
      <c r="G6" s="22">
        <f t="shared" si="0"/>
        <v>45</v>
      </c>
      <c r="H6" s="23">
        <f t="shared" si="1"/>
        <v>1.85</v>
      </c>
      <c r="I6" s="24" t="s">
        <v>146</v>
      </c>
      <c r="J6" s="25" t="s">
        <v>51</v>
      </c>
      <c r="K6" s="26">
        <v>390</v>
      </c>
      <c r="L6" s="27">
        <v>1315</v>
      </c>
      <c r="M6" s="28">
        <v>723</v>
      </c>
      <c r="N6" s="29">
        <f>ROUND((1-M6/L6)*100,1)</f>
        <v>45</v>
      </c>
      <c r="O6" s="30">
        <f>ROUND(M6/K6,2)</f>
        <v>1.85</v>
      </c>
      <c r="P6" s="31" t="s">
        <v>51</v>
      </c>
      <c r="Q6" s="32">
        <v>390</v>
      </c>
      <c r="R6" s="33">
        <v>1315</v>
      </c>
      <c r="S6" s="34">
        <v>723</v>
      </c>
      <c r="T6" s="35">
        <f t="shared" si="2"/>
        <v>45</v>
      </c>
      <c r="U6" s="36" t="s">
        <v>52</v>
      </c>
      <c r="V6" s="41" t="s">
        <v>59</v>
      </c>
    </row>
    <row r="7" spans="1:22" ht="33.75" customHeight="1" x14ac:dyDescent="0.25">
      <c r="A7" s="38" t="s">
        <v>147</v>
      </c>
      <c r="B7" s="39" t="s">
        <v>148</v>
      </c>
      <c r="C7" s="40" t="s">
        <v>149</v>
      </c>
      <c r="D7" s="19">
        <v>300</v>
      </c>
      <c r="E7" s="20">
        <v>750</v>
      </c>
      <c r="F7" s="21">
        <v>638</v>
      </c>
      <c r="G7" s="22">
        <f t="shared" si="0"/>
        <v>14.9</v>
      </c>
      <c r="H7" s="23">
        <f t="shared" si="1"/>
        <v>2.13</v>
      </c>
      <c r="I7" s="24" t="s">
        <v>150</v>
      </c>
      <c r="J7" s="25" t="s">
        <v>51</v>
      </c>
      <c r="K7" s="26">
        <v>300</v>
      </c>
      <c r="L7" s="27">
        <v>750</v>
      </c>
      <c r="M7" s="28">
        <v>675</v>
      </c>
      <c r="N7" s="29">
        <f>ROUND((1-M7/L7)*100,1)</f>
        <v>10</v>
      </c>
      <c r="O7" s="30">
        <f>ROUND(M7/K7,2)</f>
        <v>2.25</v>
      </c>
      <c r="P7" s="31" t="s">
        <v>51</v>
      </c>
      <c r="Q7" s="32">
        <v>300</v>
      </c>
      <c r="R7" s="33">
        <v>750</v>
      </c>
      <c r="S7" s="34">
        <v>675</v>
      </c>
      <c r="T7" s="35">
        <f t="shared" si="2"/>
        <v>10</v>
      </c>
      <c r="U7" s="36" t="s">
        <v>52</v>
      </c>
      <c r="V7" s="37" t="s">
        <v>53</v>
      </c>
    </row>
    <row r="8" spans="1:22" ht="33.75" customHeight="1" x14ac:dyDescent="0.25">
      <c r="A8" s="16" t="s">
        <v>151</v>
      </c>
      <c r="B8" s="17" t="s">
        <v>152</v>
      </c>
      <c r="C8" s="18" t="s">
        <v>153</v>
      </c>
      <c r="D8" s="19">
        <v>650</v>
      </c>
      <c r="E8" s="20">
        <v>1192</v>
      </c>
      <c r="F8" s="21">
        <v>715</v>
      </c>
      <c r="G8" s="22">
        <f t="shared" si="0"/>
        <v>40</v>
      </c>
      <c r="H8" s="23">
        <f t="shared" si="1"/>
        <v>1.1000000000000001</v>
      </c>
      <c r="I8" s="24" t="s">
        <v>154</v>
      </c>
      <c r="J8" s="25" t="s">
        <v>51</v>
      </c>
      <c r="K8" s="26">
        <v>650</v>
      </c>
      <c r="L8" s="27">
        <v>1192</v>
      </c>
      <c r="M8" s="28">
        <v>715</v>
      </c>
      <c r="N8" s="29">
        <f>ROUND((1-M8/L8)*100,1)</f>
        <v>40</v>
      </c>
      <c r="O8" s="30">
        <f>ROUND(M8/K8,2)</f>
        <v>1.1000000000000001</v>
      </c>
      <c r="P8" s="31" t="s">
        <v>51</v>
      </c>
      <c r="Q8" s="32">
        <v>650</v>
      </c>
      <c r="R8" s="33">
        <v>1192</v>
      </c>
      <c r="S8" s="34">
        <v>715</v>
      </c>
      <c r="T8" s="35">
        <f t="shared" si="2"/>
        <v>40</v>
      </c>
      <c r="U8" s="36" t="s">
        <v>52</v>
      </c>
      <c r="V8" s="37" t="s">
        <v>53</v>
      </c>
    </row>
    <row r="9" spans="1:22" ht="33.75" customHeight="1" x14ac:dyDescent="0.25">
      <c r="A9" s="38" t="s">
        <v>155</v>
      </c>
      <c r="B9" s="39" t="s">
        <v>156</v>
      </c>
      <c r="C9" s="40" t="s">
        <v>157</v>
      </c>
      <c r="D9" s="19">
        <v>250</v>
      </c>
      <c r="E9" s="20">
        <v>1333</v>
      </c>
      <c r="F9" s="21">
        <v>1058</v>
      </c>
      <c r="G9" s="22">
        <f t="shared" si="0"/>
        <v>20.6</v>
      </c>
      <c r="H9" s="23">
        <f t="shared" si="1"/>
        <v>4.2300000000000004</v>
      </c>
      <c r="I9" s="24" t="s">
        <v>158</v>
      </c>
      <c r="J9" s="42" t="s">
        <v>78</v>
      </c>
      <c r="K9" s="42"/>
      <c r="L9" s="42"/>
      <c r="M9" s="43"/>
      <c r="N9" s="44" t="s">
        <v>79</v>
      </c>
      <c r="O9" s="45" t="s">
        <v>79</v>
      </c>
      <c r="P9" s="31" t="s">
        <v>51</v>
      </c>
      <c r="Q9" s="32">
        <v>250</v>
      </c>
      <c r="R9" s="33">
        <v>1333</v>
      </c>
      <c r="S9" s="34">
        <v>1058</v>
      </c>
      <c r="T9" s="35">
        <f t="shared" si="2"/>
        <v>20.6</v>
      </c>
      <c r="U9" s="36" t="s">
        <v>52</v>
      </c>
      <c r="V9" s="41" t="s">
        <v>59</v>
      </c>
    </row>
    <row r="10" spans="1:22" ht="33.75" customHeight="1" x14ac:dyDescent="0.25">
      <c r="A10" s="16" t="s">
        <v>159</v>
      </c>
      <c r="B10" s="17" t="s">
        <v>144</v>
      </c>
      <c r="C10" s="18" t="s">
        <v>160</v>
      </c>
      <c r="D10" s="19">
        <v>390</v>
      </c>
      <c r="E10" s="20">
        <v>1479</v>
      </c>
      <c r="F10" s="21">
        <v>813</v>
      </c>
      <c r="G10" s="22">
        <f t="shared" si="0"/>
        <v>45</v>
      </c>
      <c r="H10" s="23">
        <f t="shared" si="1"/>
        <v>2.08</v>
      </c>
      <c r="I10" s="24" t="s">
        <v>161</v>
      </c>
      <c r="J10" s="42" t="s">
        <v>78</v>
      </c>
      <c r="K10" s="42"/>
      <c r="L10" s="42"/>
      <c r="M10" s="43"/>
      <c r="N10" s="44" t="s">
        <v>79</v>
      </c>
      <c r="O10" s="45" t="s">
        <v>79</v>
      </c>
      <c r="P10" s="42" t="s">
        <v>78</v>
      </c>
      <c r="Q10" s="42"/>
      <c r="R10" s="42"/>
      <c r="S10" s="43"/>
      <c r="T10" s="44" t="s">
        <v>79</v>
      </c>
      <c r="U10" s="36" t="s">
        <v>52</v>
      </c>
      <c r="V10" s="41" t="s">
        <v>59</v>
      </c>
    </row>
    <row r="11" spans="1:22" ht="33.75" customHeight="1" x14ac:dyDescent="0.25">
      <c r="A11" s="38" t="s">
        <v>162</v>
      </c>
      <c r="B11" s="39" t="s">
        <v>163</v>
      </c>
      <c r="C11" s="40" t="s">
        <v>164</v>
      </c>
      <c r="D11" s="19">
        <v>200</v>
      </c>
      <c r="E11" s="20">
        <v>499</v>
      </c>
      <c r="F11" s="21">
        <v>364</v>
      </c>
      <c r="G11" s="22">
        <f t="shared" si="0"/>
        <v>27.1</v>
      </c>
      <c r="H11" s="23">
        <f t="shared" si="1"/>
        <v>1.82</v>
      </c>
      <c r="I11" s="24" t="s">
        <v>165</v>
      </c>
      <c r="J11" s="42" t="s">
        <v>78</v>
      </c>
      <c r="K11" s="42"/>
      <c r="L11" s="42"/>
      <c r="M11" s="43"/>
      <c r="N11" s="44" t="s">
        <v>79</v>
      </c>
      <c r="O11" s="45" t="s">
        <v>79</v>
      </c>
      <c r="P11" s="31" t="s">
        <v>51</v>
      </c>
      <c r="Q11" s="32">
        <v>200</v>
      </c>
      <c r="R11" s="33">
        <v>499</v>
      </c>
      <c r="S11" s="34">
        <v>449</v>
      </c>
      <c r="T11" s="35">
        <f>ROUND((1-S11/R11)*100,1)</f>
        <v>10</v>
      </c>
      <c r="U11" s="36" t="s">
        <v>52</v>
      </c>
      <c r="V11" s="37" t="s">
        <v>53</v>
      </c>
    </row>
    <row r="12" spans="1:22" ht="33.75" customHeight="1" x14ac:dyDescent="0.25">
      <c r="A12" s="16" t="s">
        <v>166</v>
      </c>
      <c r="B12" s="17" t="s">
        <v>167</v>
      </c>
      <c r="C12" s="18" t="s">
        <v>168</v>
      </c>
      <c r="D12" s="19">
        <v>250</v>
      </c>
      <c r="E12" s="20">
        <v>3300</v>
      </c>
      <c r="F12" s="21">
        <v>2950</v>
      </c>
      <c r="G12" s="22">
        <f t="shared" si="0"/>
        <v>10.6</v>
      </c>
      <c r="H12" s="23">
        <f t="shared" si="1"/>
        <v>11.8</v>
      </c>
      <c r="I12" s="24" t="s">
        <v>169</v>
      </c>
      <c r="J12" s="42" t="s">
        <v>78</v>
      </c>
      <c r="K12" s="42"/>
      <c r="L12" s="42"/>
      <c r="M12" s="43"/>
      <c r="N12" s="44" t="s">
        <v>79</v>
      </c>
      <c r="O12" s="45" t="s">
        <v>79</v>
      </c>
      <c r="P12" s="42" t="s">
        <v>78</v>
      </c>
      <c r="Q12" s="42"/>
      <c r="R12" s="42"/>
      <c r="S12" s="43"/>
      <c r="T12" s="44" t="s">
        <v>79</v>
      </c>
      <c r="U12" s="36" t="s">
        <v>52</v>
      </c>
      <c r="V12" s="41" t="s">
        <v>59</v>
      </c>
    </row>
    <row r="13" spans="1:22" ht="33.75" customHeight="1" x14ac:dyDescent="0.25">
      <c r="A13" s="38" t="s">
        <v>170</v>
      </c>
      <c r="B13" s="39" t="s">
        <v>148</v>
      </c>
      <c r="C13" s="40" t="s">
        <v>171</v>
      </c>
      <c r="D13" s="19">
        <v>250</v>
      </c>
      <c r="E13" s="20">
        <v>1045</v>
      </c>
      <c r="F13" s="21">
        <v>941</v>
      </c>
      <c r="G13" s="22">
        <f t="shared" si="0"/>
        <v>10</v>
      </c>
      <c r="H13" s="23">
        <f t="shared" si="1"/>
        <v>3.76</v>
      </c>
      <c r="I13" s="24" t="s">
        <v>172</v>
      </c>
      <c r="J13" s="25" t="s">
        <v>51</v>
      </c>
      <c r="K13" s="26">
        <v>250</v>
      </c>
      <c r="L13" s="27">
        <v>1045</v>
      </c>
      <c r="M13" s="28">
        <v>941</v>
      </c>
      <c r="N13" s="29">
        <f>ROUND((1-M13/L13)*100,1)</f>
        <v>10</v>
      </c>
      <c r="O13" s="30">
        <f>ROUND(M13/K13,2)</f>
        <v>3.76</v>
      </c>
      <c r="P13" s="42" t="s">
        <v>78</v>
      </c>
      <c r="Q13" s="42"/>
      <c r="R13" s="42"/>
      <c r="S13" s="43"/>
      <c r="T13" s="44" t="s">
        <v>79</v>
      </c>
      <c r="U13" s="36" t="s">
        <v>52</v>
      </c>
      <c r="V13" s="41" t="s">
        <v>59</v>
      </c>
    </row>
    <row r="15" spans="1:22" ht="15.75" customHeight="1" x14ac:dyDescent="0.25">
      <c r="A15" s="54" t="s">
        <v>92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</row>
  </sheetData>
  <autoFilter ref="A3:V13" xr:uid="{00000000-0009-0000-0000-000003000000}"/>
  <mergeCells count="7">
    <mergeCell ref="A15:V15"/>
    <mergeCell ref="A1:V1"/>
    <mergeCell ref="A2:C2"/>
    <mergeCell ref="D2:I2"/>
    <mergeCell ref="J2:O2"/>
    <mergeCell ref="P2:T2"/>
    <mergeCell ref="U2:V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17" sqref="M17"/>
    </sheetView>
  </sheetViews>
  <sheetFormatPr defaultColWidth="8.7109375" defaultRowHeight="15" x14ac:dyDescent="0.25"/>
  <cols>
    <col min="1" max="1" width="35.7109375" bestFit="1" customWidth="1"/>
    <col min="2" max="2" width="12.85546875" bestFit="1" customWidth="1"/>
    <col min="3" max="3" width="19.7109375" bestFit="1" customWidth="1"/>
    <col min="4" max="5" width="11.42578125" bestFit="1" customWidth="1"/>
    <col min="6" max="6" width="12" bestFit="1" customWidth="1"/>
    <col min="7" max="7" width="10.5703125" bestFit="1" customWidth="1"/>
    <col min="8" max="8" width="10.140625" bestFit="1" customWidth="1"/>
    <col min="9" max="9" width="15.42578125" bestFit="1" customWidth="1"/>
    <col min="10" max="10" width="12.5703125" bestFit="1" customWidth="1"/>
    <col min="11" max="12" width="11.42578125" bestFit="1" customWidth="1"/>
    <col min="13" max="13" width="12" bestFit="1" customWidth="1"/>
    <col min="14" max="14" width="10.5703125" bestFit="1" customWidth="1"/>
    <col min="15" max="15" width="10.42578125" bestFit="1" customWidth="1"/>
    <col min="16" max="16" width="12.5703125" bestFit="1" customWidth="1"/>
    <col min="17" max="18" width="11.42578125" bestFit="1" customWidth="1"/>
    <col min="19" max="19" width="12" bestFit="1" customWidth="1"/>
    <col min="20" max="20" width="10.5703125" bestFit="1" customWidth="1"/>
    <col min="21" max="21" width="13.5703125" bestFit="1" customWidth="1"/>
    <col min="22" max="22" width="16.7109375" bestFit="1" customWidth="1"/>
  </cols>
  <sheetData>
    <row r="1" spans="1:22" ht="27.75" customHeight="1" x14ac:dyDescent="0.25">
      <c r="A1" s="55" t="s">
        <v>173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22" ht="19.5" customHeight="1" x14ac:dyDescent="0.25">
      <c r="A2" s="56" t="s">
        <v>21</v>
      </c>
      <c r="B2" s="56"/>
      <c r="C2" s="56"/>
      <c r="D2" s="57" t="s">
        <v>22</v>
      </c>
      <c r="E2" s="57"/>
      <c r="F2" s="57"/>
      <c r="G2" s="57"/>
      <c r="H2" s="57"/>
      <c r="I2" s="57"/>
      <c r="J2" s="58" t="s">
        <v>23</v>
      </c>
      <c r="K2" s="58"/>
      <c r="L2" s="58"/>
      <c r="M2" s="58"/>
      <c r="N2" s="58"/>
      <c r="O2" s="58"/>
      <c r="P2" s="59" t="s">
        <v>24</v>
      </c>
      <c r="Q2" s="59"/>
      <c r="R2" s="59"/>
      <c r="S2" s="59"/>
      <c r="T2" s="59"/>
      <c r="U2" s="60" t="s">
        <v>25</v>
      </c>
      <c r="V2" s="60"/>
    </row>
    <row r="3" spans="1:22" ht="33.75" customHeight="1" x14ac:dyDescent="0.25">
      <c r="A3" s="11" t="s">
        <v>26</v>
      </c>
      <c r="B3" s="11" t="s">
        <v>27</v>
      </c>
      <c r="C3" s="11" t="s">
        <v>2</v>
      </c>
      <c r="D3" s="12" t="s">
        <v>94</v>
      </c>
      <c r="E3" s="12" t="s">
        <v>29</v>
      </c>
      <c r="F3" s="12" t="s">
        <v>30</v>
      </c>
      <c r="G3" s="12" t="s">
        <v>31</v>
      </c>
      <c r="H3" s="12" t="s">
        <v>95</v>
      </c>
      <c r="I3" s="12" t="s">
        <v>33</v>
      </c>
      <c r="J3" s="13" t="s">
        <v>34</v>
      </c>
      <c r="K3" s="13" t="s">
        <v>96</v>
      </c>
      <c r="L3" s="13" t="s">
        <v>36</v>
      </c>
      <c r="M3" s="13" t="s">
        <v>37</v>
      </c>
      <c r="N3" s="13" t="s">
        <v>38</v>
      </c>
      <c r="O3" s="13" t="s">
        <v>97</v>
      </c>
      <c r="P3" s="14" t="s">
        <v>40</v>
      </c>
      <c r="Q3" s="14" t="s">
        <v>98</v>
      </c>
      <c r="R3" s="14" t="s">
        <v>42</v>
      </c>
      <c r="S3" s="14" t="s">
        <v>43</v>
      </c>
      <c r="T3" s="14" t="s">
        <v>44</v>
      </c>
      <c r="U3" s="15" t="s">
        <v>45</v>
      </c>
      <c r="V3" s="15" t="s">
        <v>46</v>
      </c>
    </row>
    <row r="4" spans="1:22" ht="33.75" customHeight="1" x14ac:dyDescent="0.25">
      <c r="A4" s="16" t="s">
        <v>174</v>
      </c>
      <c r="B4" s="17" t="s">
        <v>111</v>
      </c>
      <c r="C4" s="18" t="s">
        <v>175</v>
      </c>
      <c r="D4" s="46">
        <v>4.5</v>
      </c>
      <c r="E4" s="20">
        <v>149</v>
      </c>
      <c r="F4" s="21">
        <v>112</v>
      </c>
      <c r="G4" s="22">
        <f t="shared" ref="G4:G13" si="0">ROUND((1-F4/E4)*100,1)</f>
        <v>24.8</v>
      </c>
      <c r="H4" s="47">
        <f t="shared" ref="H4:H13" si="1">ROUND(F4/D4,2)</f>
        <v>24.89</v>
      </c>
      <c r="I4" s="24" t="s">
        <v>176</v>
      </c>
      <c r="J4" s="42" t="s">
        <v>78</v>
      </c>
      <c r="K4" s="42"/>
      <c r="L4" s="42"/>
      <c r="M4" s="43"/>
      <c r="N4" s="44" t="s">
        <v>79</v>
      </c>
      <c r="O4" s="45" t="s">
        <v>79</v>
      </c>
      <c r="P4" s="42" t="s">
        <v>78</v>
      </c>
      <c r="Q4" s="42"/>
      <c r="R4" s="42"/>
      <c r="S4" s="43"/>
      <c r="T4" s="44" t="s">
        <v>79</v>
      </c>
      <c r="U4" s="36" t="s">
        <v>52</v>
      </c>
      <c r="V4" s="37" t="s">
        <v>53</v>
      </c>
    </row>
    <row r="5" spans="1:22" ht="33.75" customHeight="1" x14ac:dyDescent="0.25">
      <c r="A5" s="38" t="s">
        <v>177</v>
      </c>
      <c r="B5" s="39" t="s">
        <v>178</v>
      </c>
      <c r="C5" s="40" t="s">
        <v>179</v>
      </c>
      <c r="D5" s="46">
        <v>10</v>
      </c>
      <c r="E5" s="20">
        <v>750</v>
      </c>
      <c r="F5" s="21">
        <v>750</v>
      </c>
      <c r="G5" s="22">
        <f t="shared" si="0"/>
        <v>0</v>
      </c>
      <c r="H5" s="47">
        <f t="shared" si="1"/>
        <v>75</v>
      </c>
      <c r="I5" s="24" t="s">
        <v>180</v>
      </c>
      <c r="J5" s="42" t="s">
        <v>78</v>
      </c>
      <c r="K5" s="42"/>
      <c r="L5" s="42"/>
      <c r="M5" s="43"/>
      <c r="N5" s="44" t="s">
        <v>79</v>
      </c>
      <c r="O5" s="45" t="s">
        <v>79</v>
      </c>
      <c r="P5" s="42" t="s">
        <v>78</v>
      </c>
      <c r="Q5" s="42"/>
      <c r="R5" s="42"/>
      <c r="S5" s="43"/>
      <c r="T5" s="44" t="s">
        <v>79</v>
      </c>
      <c r="U5" s="36" t="s">
        <v>52</v>
      </c>
      <c r="V5" s="41" t="s">
        <v>59</v>
      </c>
    </row>
    <row r="6" spans="1:22" ht="33.75" customHeight="1" x14ac:dyDescent="0.25">
      <c r="A6" s="16" t="s">
        <v>181</v>
      </c>
      <c r="B6" s="17" t="s">
        <v>182</v>
      </c>
      <c r="C6" s="18" t="s">
        <v>183</v>
      </c>
      <c r="D6" s="46">
        <v>20</v>
      </c>
      <c r="E6" s="20">
        <v>295</v>
      </c>
      <c r="F6" s="21">
        <v>251</v>
      </c>
      <c r="G6" s="22">
        <f t="shared" si="0"/>
        <v>14.9</v>
      </c>
      <c r="H6" s="47">
        <f t="shared" si="1"/>
        <v>12.55</v>
      </c>
      <c r="I6" s="24" t="s">
        <v>184</v>
      </c>
      <c r="J6" s="25" t="s">
        <v>51</v>
      </c>
      <c r="K6" s="48">
        <v>20</v>
      </c>
      <c r="L6" s="27">
        <v>295</v>
      </c>
      <c r="M6" s="28">
        <v>251</v>
      </c>
      <c r="N6" s="29">
        <f>ROUND((1-M6/L6)*100,1)</f>
        <v>14.9</v>
      </c>
      <c r="O6" s="49">
        <f>ROUND(M6/K6,2)</f>
        <v>12.55</v>
      </c>
      <c r="P6" s="31" t="s">
        <v>51</v>
      </c>
      <c r="Q6" s="50">
        <v>20</v>
      </c>
      <c r="R6" s="33">
        <v>295</v>
      </c>
      <c r="S6" s="34">
        <v>251</v>
      </c>
      <c r="T6" s="35">
        <f>ROUND((1-S6/R6)*100,1)</f>
        <v>14.9</v>
      </c>
      <c r="U6" s="36" t="s">
        <v>52</v>
      </c>
      <c r="V6" s="37" t="s">
        <v>53</v>
      </c>
    </row>
    <row r="7" spans="1:22" ht="33.75" customHeight="1" x14ac:dyDescent="0.25">
      <c r="A7" s="38" t="s">
        <v>185</v>
      </c>
      <c r="B7" s="39" t="s">
        <v>65</v>
      </c>
      <c r="C7" s="40" t="s">
        <v>186</v>
      </c>
      <c r="D7" s="46">
        <v>3.8</v>
      </c>
      <c r="E7" s="20">
        <v>249</v>
      </c>
      <c r="F7" s="21">
        <v>249</v>
      </c>
      <c r="G7" s="22">
        <f t="shared" si="0"/>
        <v>0</v>
      </c>
      <c r="H7" s="47">
        <f t="shared" si="1"/>
        <v>65.53</v>
      </c>
      <c r="I7" s="24" t="s">
        <v>187</v>
      </c>
      <c r="J7" s="25" t="s">
        <v>51</v>
      </c>
      <c r="K7" s="48">
        <v>3.8</v>
      </c>
      <c r="L7" s="27">
        <v>249</v>
      </c>
      <c r="M7" s="28">
        <v>224</v>
      </c>
      <c r="N7" s="29">
        <f>ROUND((1-M7/L7)*100,1)</f>
        <v>10</v>
      </c>
      <c r="O7" s="49">
        <f>ROUND(M7/K7,2)</f>
        <v>58.95</v>
      </c>
      <c r="P7" s="31" t="s">
        <v>51</v>
      </c>
      <c r="Q7" s="50">
        <v>3.8</v>
      </c>
      <c r="R7" s="33">
        <v>249</v>
      </c>
      <c r="S7" s="34">
        <v>224</v>
      </c>
      <c r="T7" s="35">
        <f>ROUND((1-S7/R7)*100,1)</f>
        <v>10</v>
      </c>
      <c r="U7" s="36" t="s">
        <v>58</v>
      </c>
      <c r="V7" s="37" t="s">
        <v>53</v>
      </c>
    </row>
    <row r="8" spans="1:22" ht="33.75" customHeight="1" x14ac:dyDescent="0.25">
      <c r="A8" s="16" t="s">
        <v>188</v>
      </c>
      <c r="B8" s="17" t="s">
        <v>189</v>
      </c>
      <c r="C8" s="18" t="s">
        <v>190</v>
      </c>
      <c r="D8" s="46">
        <v>4.8</v>
      </c>
      <c r="E8" s="20">
        <v>260</v>
      </c>
      <c r="F8" s="21">
        <v>182</v>
      </c>
      <c r="G8" s="22">
        <f t="shared" si="0"/>
        <v>30</v>
      </c>
      <c r="H8" s="47">
        <f t="shared" si="1"/>
        <v>37.92</v>
      </c>
      <c r="I8" s="24" t="s">
        <v>191</v>
      </c>
      <c r="J8" s="25" t="s">
        <v>51</v>
      </c>
      <c r="K8" s="48">
        <v>4.8</v>
      </c>
      <c r="L8" s="27">
        <v>260</v>
      </c>
      <c r="M8" s="28">
        <v>234</v>
      </c>
      <c r="N8" s="29">
        <f>ROUND((1-M8/L8)*100,1)</f>
        <v>10</v>
      </c>
      <c r="O8" s="49">
        <f>ROUND(M8/K8,2)</f>
        <v>48.75</v>
      </c>
      <c r="P8" s="31" t="s">
        <v>51</v>
      </c>
      <c r="Q8" s="50">
        <v>4.8</v>
      </c>
      <c r="R8" s="33">
        <v>260</v>
      </c>
      <c r="S8" s="34">
        <v>234</v>
      </c>
      <c r="T8" s="35">
        <f>ROUND((1-S8/R8)*100,1)</f>
        <v>10</v>
      </c>
      <c r="U8" s="36" t="s">
        <v>52</v>
      </c>
      <c r="V8" s="37" t="s">
        <v>53</v>
      </c>
    </row>
    <row r="9" spans="1:22" ht="33.75" customHeight="1" x14ac:dyDescent="0.25">
      <c r="A9" s="38" t="s">
        <v>192</v>
      </c>
      <c r="B9" s="39" t="s">
        <v>163</v>
      </c>
      <c r="C9" s="40" t="s">
        <v>193</v>
      </c>
      <c r="D9" s="46">
        <v>4.5</v>
      </c>
      <c r="E9" s="20">
        <v>299</v>
      </c>
      <c r="F9" s="21">
        <v>248</v>
      </c>
      <c r="G9" s="22">
        <f t="shared" si="0"/>
        <v>17.100000000000001</v>
      </c>
      <c r="H9" s="47">
        <f t="shared" si="1"/>
        <v>55.11</v>
      </c>
      <c r="I9" s="24" t="s">
        <v>194</v>
      </c>
      <c r="J9" s="42" t="s">
        <v>78</v>
      </c>
      <c r="K9" s="42"/>
      <c r="L9" s="42"/>
      <c r="M9" s="43"/>
      <c r="N9" s="44" t="s">
        <v>79</v>
      </c>
      <c r="O9" s="45" t="s">
        <v>79</v>
      </c>
      <c r="P9" s="42" t="s">
        <v>78</v>
      </c>
      <c r="Q9" s="42"/>
      <c r="R9" s="42"/>
      <c r="S9" s="43"/>
      <c r="T9" s="44" t="s">
        <v>79</v>
      </c>
      <c r="U9" s="36" t="s">
        <v>52</v>
      </c>
      <c r="V9" s="37" t="s">
        <v>53</v>
      </c>
    </row>
    <row r="10" spans="1:22" ht="33.75" customHeight="1" x14ac:dyDescent="0.25">
      <c r="A10" s="16" t="s">
        <v>195</v>
      </c>
      <c r="B10" s="17" t="s">
        <v>69</v>
      </c>
      <c r="C10" s="18" t="s">
        <v>196</v>
      </c>
      <c r="D10" s="46">
        <v>4</v>
      </c>
      <c r="E10" s="20">
        <v>249</v>
      </c>
      <c r="F10" s="21">
        <v>224</v>
      </c>
      <c r="G10" s="22">
        <f t="shared" si="0"/>
        <v>10</v>
      </c>
      <c r="H10" s="47">
        <f t="shared" si="1"/>
        <v>56</v>
      </c>
      <c r="I10" s="24" t="s">
        <v>197</v>
      </c>
      <c r="J10" s="25" t="s">
        <v>51</v>
      </c>
      <c r="K10" s="48">
        <v>4</v>
      </c>
      <c r="L10" s="27">
        <v>249</v>
      </c>
      <c r="M10" s="28">
        <v>224</v>
      </c>
      <c r="N10" s="29">
        <f>ROUND((1-M10/L10)*100,1)</f>
        <v>10</v>
      </c>
      <c r="O10" s="49">
        <f>ROUND(M10/K10,2)</f>
        <v>56</v>
      </c>
      <c r="P10" s="31" t="s">
        <v>51</v>
      </c>
      <c r="Q10" s="50">
        <v>4</v>
      </c>
      <c r="R10" s="33">
        <v>249</v>
      </c>
      <c r="S10" s="34">
        <v>224</v>
      </c>
      <c r="T10" s="35">
        <f>ROUND((1-S10/R10)*100,1)</f>
        <v>10</v>
      </c>
      <c r="U10" s="36" t="s">
        <v>52</v>
      </c>
      <c r="V10" s="37" t="s">
        <v>53</v>
      </c>
    </row>
    <row r="11" spans="1:22" ht="33.75" customHeight="1" x14ac:dyDescent="0.25">
      <c r="A11" s="38" t="s">
        <v>198</v>
      </c>
      <c r="B11" s="39" t="s">
        <v>163</v>
      </c>
      <c r="C11" s="40" t="s">
        <v>199</v>
      </c>
      <c r="D11" s="46">
        <v>4.5</v>
      </c>
      <c r="E11" s="20">
        <v>299</v>
      </c>
      <c r="F11" s="21">
        <v>248</v>
      </c>
      <c r="G11" s="22">
        <f t="shared" si="0"/>
        <v>17.100000000000001</v>
      </c>
      <c r="H11" s="47">
        <f t="shared" si="1"/>
        <v>55.11</v>
      </c>
      <c r="I11" s="24" t="s">
        <v>200</v>
      </c>
      <c r="J11" s="42" t="s">
        <v>78</v>
      </c>
      <c r="K11" s="42"/>
      <c r="L11" s="42"/>
      <c r="M11" s="43"/>
      <c r="N11" s="44" t="s">
        <v>79</v>
      </c>
      <c r="O11" s="45" t="s">
        <v>79</v>
      </c>
      <c r="P11" s="42" t="s">
        <v>78</v>
      </c>
      <c r="Q11" s="42"/>
      <c r="R11" s="42"/>
      <c r="S11" s="43"/>
      <c r="T11" s="44" t="s">
        <v>79</v>
      </c>
      <c r="U11" s="36" t="s">
        <v>52</v>
      </c>
      <c r="V11" s="37" t="s">
        <v>53</v>
      </c>
    </row>
    <row r="12" spans="1:22" ht="33.75" customHeight="1" x14ac:dyDescent="0.25">
      <c r="A12" s="16" t="s">
        <v>201</v>
      </c>
      <c r="B12" s="17" t="s">
        <v>69</v>
      </c>
      <c r="C12" s="18" t="s">
        <v>202</v>
      </c>
      <c r="D12" s="46">
        <v>4</v>
      </c>
      <c r="E12" s="20">
        <v>249</v>
      </c>
      <c r="F12" s="21">
        <v>237</v>
      </c>
      <c r="G12" s="22">
        <f t="shared" si="0"/>
        <v>4.8</v>
      </c>
      <c r="H12" s="47">
        <f t="shared" si="1"/>
        <v>59.25</v>
      </c>
      <c r="I12" s="24" t="s">
        <v>203</v>
      </c>
      <c r="J12" s="42" t="s">
        <v>78</v>
      </c>
      <c r="K12" s="42"/>
      <c r="L12" s="42"/>
      <c r="M12" s="43"/>
      <c r="N12" s="44" t="s">
        <v>79</v>
      </c>
      <c r="O12" s="45" t="s">
        <v>79</v>
      </c>
      <c r="P12" s="31" t="s">
        <v>51</v>
      </c>
      <c r="Q12" s="50">
        <v>4</v>
      </c>
      <c r="R12" s="33">
        <v>249</v>
      </c>
      <c r="S12" s="34">
        <v>237</v>
      </c>
      <c r="T12" s="35">
        <f>ROUND((1-S12/R12)*100,1)</f>
        <v>4.8</v>
      </c>
      <c r="U12" s="36" t="s">
        <v>52</v>
      </c>
      <c r="V12" s="37" t="s">
        <v>53</v>
      </c>
    </row>
    <row r="13" spans="1:22" ht="33.75" customHeight="1" x14ac:dyDescent="0.25">
      <c r="A13" s="38" t="s">
        <v>204</v>
      </c>
      <c r="B13" s="39" t="s">
        <v>205</v>
      </c>
      <c r="C13" s="40" t="s">
        <v>206</v>
      </c>
      <c r="D13" s="46">
        <v>9</v>
      </c>
      <c r="E13" s="20">
        <v>850</v>
      </c>
      <c r="F13" s="21">
        <v>850</v>
      </c>
      <c r="G13" s="22">
        <f t="shared" si="0"/>
        <v>0</v>
      </c>
      <c r="H13" s="47">
        <f t="shared" si="1"/>
        <v>94.44</v>
      </c>
      <c r="I13" s="24" t="s">
        <v>207</v>
      </c>
      <c r="J13" s="42" t="s">
        <v>78</v>
      </c>
      <c r="K13" s="42"/>
      <c r="L13" s="42"/>
      <c r="M13" s="43"/>
      <c r="N13" s="44" t="s">
        <v>79</v>
      </c>
      <c r="O13" s="45" t="s">
        <v>79</v>
      </c>
      <c r="P13" s="42" t="s">
        <v>78</v>
      </c>
      <c r="Q13" s="42"/>
      <c r="R13" s="42"/>
      <c r="S13" s="43"/>
      <c r="T13" s="44" t="s">
        <v>79</v>
      </c>
      <c r="U13" s="36" t="s">
        <v>52</v>
      </c>
      <c r="V13" s="41" t="s">
        <v>59</v>
      </c>
    </row>
    <row r="15" spans="1:22" ht="15.75" customHeight="1" x14ac:dyDescent="0.25">
      <c r="A15" s="54" t="s">
        <v>92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</row>
  </sheetData>
  <autoFilter ref="A3:V13" xr:uid="{00000000-0009-0000-0000-000004000000}"/>
  <mergeCells count="7">
    <mergeCell ref="A15:V15"/>
    <mergeCell ref="A1:V1"/>
    <mergeCell ref="A2:C2"/>
    <mergeCell ref="D2:I2"/>
    <mergeCell ref="J2:O2"/>
    <mergeCell ref="P2:T2"/>
    <mergeCell ref="U2:V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31AC-3E16-40D9-867F-272AA8C169F0}">
  <dimension ref="A1:V13"/>
  <sheetViews>
    <sheetView workbookViewId="0">
      <selection activeCell="V4" sqref="V4"/>
    </sheetView>
  </sheetViews>
  <sheetFormatPr defaultRowHeight="15" x14ac:dyDescent="0.25"/>
  <cols>
    <col min="2" max="2" width="8.42578125" bestFit="1" customWidth="1"/>
    <col min="3" max="3" width="9" bestFit="1" customWidth="1"/>
    <col min="4" max="4" width="7.85546875" bestFit="1" customWidth="1"/>
    <col min="5" max="5" width="6.85546875" bestFit="1" customWidth="1"/>
    <col min="6" max="6" width="7.42578125" bestFit="1" customWidth="1"/>
    <col min="7" max="7" width="6" bestFit="1" customWidth="1"/>
    <col min="8" max="8" width="7.7109375" bestFit="1" customWidth="1"/>
    <col min="9" max="9" width="8.85546875" bestFit="1" customWidth="1"/>
    <col min="10" max="10" width="8" bestFit="1" customWidth="1"/>
    <col min="11" max="11" width="7.85546875" bestFit="1" customWidth="1"/>
    <col min="12" max="12" width="6.85546875" bestFit="1" customWidth="1"/>
    <col min="13" max="13" width="7.42578125" bestFit="1" customWidth="1"/>
    <col min="14" max="14" width="6" bestFit="1" customWidth="1"/>
    <col min="15" max="15" width="7.7109375" bestFit="1" customWidth="1"/>
    <col min="16" max="16" width="8" bestFit="1" customWidth="1"/>
    <col min="17" max="17" width="7.85546875" bestFit="1" customWidth="1"/>
    <col min="18" max="18" width="6.85546875" bestFit="1" customWidth="1"/>
    <col min="19" max="19" width="7.42578125" bestFit="1" customWidth="1"/>
    <col min="20" max="20" width="6" bestFit="1" customWidth="1"/>
    <col min="21" max="21" width="9" bestFit="1" customWidth="1"/>
  </cols>
  <sheetData>
    <row r="1" spans="1:22" ht="15.75" x14ac:dyDescent="0.25">
      <c r="A1" s="55" t="s">
        <v>208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22" x14ac:dyDescent="0.25">
      <c r="A2" s="56" t="s">
        <v>21</v>
      </c>
      <c r="B2" s="56"/>
      <c r="C2" s="56"/>
      <c r="D2" s="57" t="s">
        <v>22</v>
      </c>
      <c r="E2" s="57"/>
      <c r="F2" s="57"/>
      <c r="G2" s="57"/>
      <c r="H2" s="57"/>
      <c r="I2" s="57"/>
      <c r="J2" s="58" t="s">
        <v>23</v>
      </c>
      <c r="K2" s="58"/>
      <c r="L2" s="58"/>
      <c r="M2" s="58"/>
      <c r="N2" s="58"/>
      <c r="O2" s="58"/>
      <c r="P2" s="59" t="s">
        <v>24</v>
      </c>
      <c r="Q2" s="59"/>
      <c r="R2" s="59"/>
      <c r="S2" s="59"/>
      <c r="T2" s="59"/>
      <c r="U2" s="60" t="s">
        <v>25</v>
      </c>
      <c r="V2" s="60"/>
    </row>
    <row r="3" spans="1:22" ht="33.75" x14ac:dyDescent="0.25">
      <c r="A3" s="11" t="s">
        <v>26</v>
      </c>
      <c r="B3" s="11" t="s">
        <v>27</v>
      </c>
      <c r="C3" s="11" t="s">
        <v>2</v>
      </c>
      <c r="D3" s="12" t="s">
        <v>28</v>
      </c>
      <c r="E3" s="12" t="s">
        <v>29</v>
      </c>
      <c r="F3" s="12" t="s">
        <v>30</v>
      </c>
      <c r="G3" s="12" t="s">
        <v>31</v>
      </c>
      <c r="H3" s="12" t="s">
        <v>32</v>
      </c>
      <c r="I3" s="12" t="s">
        <v>33</v>
      </c>
      <c r="J3" s="13" t="s">
        <v>34</v>
      </c>
      <c r="K3" s="13" t="s">
        <v>35</v>
      </c>
      <c r="L3" s="13" t="s">
        <v>36</v>
      </c>
      <c r="M3" s="13" t="s">
        <v>37</v>
      </c>
      <c r="N3" s="13" t="s">
        <v>38</v>
      </c>
      <c r="O3" s="13" t="s">
        <v>39</v>
      </c>
      <c r="P3" s="14" t="s">
        <v>40</v>
      </c>
      <c r="Q3" s="14" t="s">
        <v>41</v>
      </c>
      <c r="R3" s="14" t="s">
        <v>42</v>
      </c>
      <c r="S3" s="14" t="s">
        <v>43</v>
      </c>
      <c r="T3" s="14" t="s">
        <v>44</v>
      </c>
      <c r="U3" s="15" t="s">
        <v>45</v>
      </c>
      <c r="V3" s="15" t="s">
        <v>46</v>
      </c>
    </row>
    <row r="4" spans="1:22" ht="56.25" x14ac:dyDescent="0.25">
      <c r="A4" s="16" t="s">
        <v>209</v>
      </c>
      <c r="B4" s="17" t="s">
        <v>55</v>
      </c>
      <c r="C4" s="18" t="s">
        <v>210</v>
      </c>
      <c r="D4" s="19">
        <v>125</v>
      </c>
      <c r="E4" s="20">
        <v>459</v>
      </c>
      <c r="F4" s="21">
        <v>418</v>
      </c>
      <c r="G4" s="22">
        <f t="shared" ref="G4:G13" si="0">ROUND((1-F4/E4)*100,1)</f>
        <v>8.9</v>
      </c>
      <c r="H4" s="23">
        <f t="shared" ref="H4:H13" si="1">ROUND(F4/D4,2)</f>
        <v>3.34</v>
      </c>
      <c r="I4" s="24" t="s">
        <v>211</v>
      </c>
      <c r="J4" s="25" t="s">
        <v>51</v>
      </c>
      <c r="K4" s="26">
        <v>118</v>
      </c>
      <c r="L4" s="27">
        <v>459</v>
      </c>
      <c r="M4" s="28">
        <v>418</v>
      </c>
      <c r="N4" s="29">
        <f>ROUND((1-M4/L4)*100,1)</f>
        <v>8.9</v>
      </c>
      <c r="O4" s="30">
        <f>ROUND(M4/K4,2)</f>
        <v>3.54</v>
      </c>
      <c r="P4" s="31" t="s">
        <v>51</v>
      </c>
      <c r="Q4" s="32">
        <v>118</v>
      </c>
      <c r="R4" s="33">
        <v>459</v>
      </c>
      <c r="S4" s="34">
        <v>422</v>
      </c>
      <c r="T4" s="35">
        <f t="shared" ref="T4:T9" si="2">ROUND((1-S4/R4)*100,1)</f>
        <v>8.1</v>
      </c>
      <c r="U4" s="36" t="s">
        <v>52</v>
      </c>
      <c r="V4" s="37" t="s">
        <v>53</v>
      </c>
    </row>
    <row r="5" spans="1:22" ht="101.25" x14ac:dyDescent="0.25">
      <c r="A5" s="38" t="s">
        <v>212</v>
      </c>
      <c r="B5" s="39" t="s">
        <v>213</v>
      </c>
      <c r="C5" s="40" t="s">
        <v>214</v>
      </c>
      <c r="D5" s="19">
        <v>400</v>
      </c>
      <c r="E5" s="20">
        <v>499</v>
      </c>
      <c r="F5" s="21">
        <v>449</v>
      </c>
      <c r="G5" s="22">
        <f t="shared" si="0"/>
        <v>10</v>
      </c>
      <c r="H5" s="23">
        <f t="shared" si="1"/>
        <v>1.1200000000000001</v>
      </c>
      <c r="I5" s="24" t="s">
        <v>215</v>
      </c>
      <c r="J5" s="42" t="s">
        <v>78</v>
      </c>
      <c r="K5" s="42"/>
      <c r="L5" s="42"/>
      <c r="M5" s="43"/>
      <c r="N5" s="44" t="s">
        <v>79</v>
      </c>
      <c r="O5" s="45" t="s">
        <v>79</v>
      </c>
      <c r="P5" s="31" t="s">
        <v>51</v>
      </c>
      <c r="Q5" s="32">
        <v>400</v>
      </c>
      <c r="R5" s="33">
        <v>499</v>
      </c>
      <c r="S5" s="34">
        <v>449</v>
      </c>
      <c r="T5" s="35">
        <f t="shared" si="2"/>
        <v>10</v>
      </c>
      <c r="U5" s="36" t="s">
        <v>52</v>
      </c>
      <c r="V5" s="37" t="s">
        <v>53</v>
      </c>
    </row>
    <row r="6" spans="1:22" ht="67.5" x14ac:dyDescent="0.25">
      <c r="A6" s="16" t="s">
        <v>216</v>
      </c>
      <c r="B6" s="17" t="s">
        <v>81</v>
      </c>
      <c r="C6" s="18" t="s">
        <v>217</v>
      </c>
      <c r="D6" s="19">
        <v>150</v>
      </c>
      <c r="E6" s="20">
        <v>450</v>
      </c>
      <c r="F6" s="21">
        <v>405</v>
      </c>
      <c r="G6" s="22">
        <f t="shared" si="0"/>
        <v>10</v>
      </c>
      <c r="H6" s="23">
        <f t="shared" si="1"/>
        <v>2.7</v>
      </c>
      <c r="I6" s="24" t="s">
        <v>218</v>
      </c>
      <c r="J6" s="42" t="s">
        <v>78</v>
      </c>
      <c r="K6" s="42"/>
      <c r="L6" s="42"/>
      <c r="M6" s="43"/>
      <c r="N6" s="44" t="s">
        <v>79</v>
      </c>
      <c r="O6" s="45" t="s">
        <v>79</v>
      </c>
      <c r="P6" s="31" t="s">
        <v>51</v>
      </c>
      <c r="Q6" s="32">
        <v>150</v>
      </c>
      <c r="R6" s="33">
        <v>450</v>
      </c>
      <c r="S6" s="34">
        <v>427</v>
      </c>
      <c r="T6" s="35">
        <f t="shared" si="2"/>
        <v>5.0999999999999996</v>
      </c>
      <c r="U6" s="36" t="s">
        <v>52</v>
      </c>
      <c r="V6" s="37" t="s">
        <v>53</v>
      </c>
    </row>
    <row r="7" spans="1:22" ht="78.75" x14ac:dyDescent="0.25">
      <c r="A7" s="38" t="s">
        <v>219</v>
      </c>
      <c r="B7" s="39" t="s">
        <v>220</v>
      </c>
      <c r="C7" s="40" t="s">
        <v>221</v>
      </c>
      <c r="D7" s="19">
        <v>100</v>
      </c>
      <c r="E7" s="20">
        <v>299</v>
      </c>
      <c r="F7" s="21">
        <v>284</v>
      </c>
      <c r="G7" s="22">
        <f t="shared" si="0"/>
        <v>5</v>
      </c>
      <c r="H7" s="23">
        <f t="shared" si="1"/>
        <v>2.84</v>
      </c>
      <c r="I7" s="24" t="s">
        <v>222</v>
      </c>
      <c r="J7" s="25" t="s">
        <v>51</v>
      </c>
      <c r="K7" s="26">
        <v>100</v>
      </c>
      <c r="L7" s="27">
        <v>299</v>
      </c>
      <c r="M7" s="28">
        <v>285</v>
      </c>
      <c r="N7" s="29">
        <f>ROUND((1-M7/L7)*100,1)</f>
        <v>4.7</v>
      </c>
      <c r="O7" s="30">
        <f>ROUND(M7/K7,2)</f>
        <v>2.85</v>
      </c>
      <c r="P7" s="31" t="s">
        <v>51</v>
      </c>
      <c r="Q7" s="32">
        <v>100</v>
      </c>
      <c r="R7" s="33">
        <v>299</v>
      </c>
      <c r="S7" s="34">
        <v>269</v>
      </c>
      <c r="T7" s="35">
        <f t="shared" si="2"/>
        <v>10</v>
      </c>
      <c r="U7" s="36" t="s">
        <v>223</v>
      </c>
      <c r="V7" s="37" t="s">
        <v>53</v>
      </c>
    </row>
    <row r="8" spans="1:22" ht="45" x14ac:dyDescent="0.25">
      <c r="A8" s="16" t="s">
        <v>224</v>
      </c>
      <c r="B8" s="17" t="s">
        <v>55</v>
      </c>
      <c r="C8" s="18" t="s">
        <v>225</v>
      </c>
      <c r="D8" s="19">
        <v>125</v>
      </c>
      <c r="E8" s="20">
        <v>749</v>
      </c>
      <c r="F8" s="21">
        <v>674</v>
      </c>
      <c r="G8" s="22">
        <f t="shared" si="0"/>
        <v>10</v>
      </c>
      <c r="H8" s="23">
        <f t="shared" si="1"/>
        <v>5.39</v>
      </c>
      <c r="I8" s="24" t="s">
        <v>226</v>
      </c>
      <c r="J8" s="25" t="s">
        <v>51</v>
      </c>
      <c r="K8" s="26">
        <v>118</v>
      </c>
      <c r="L8" s="27">
        <v>749</v>
      </c>
      <c r="M8" s="28">
        <v>660</v>
      </c>
      <c r="N8" s="29">
        <f>ROUND((1-M8/L8)*100,1)</f>
        <v>11.9</v>
      </c>
      <c r="O8" s="30">
        <f>ROUND(M8/K8,2)</f>
        <v>5.59</v>
      </c>
      <c r="P8" s="31" t="s">
        <v>51</v>
      </c>
      <c r="Q8" s="32">
        <v>118</v>
      </c>
      <c r="R8" s="33">
        <v>749</v>
      </c>
      <c r="S8" s="34">
        <v>712</v>
      </c>
      <c r="T8" s="35">
        <f t="shared" si="2"/>
        <v>4.9000000000000004</v>
      </c>
      <c r="U8" s="36" t="s">
        <v>58</v>
      </c>
      <c r="V8" s="37" t="s">
        <v>53</v>
      </c>
    </row>
    <row r="9" spans="1:22" ht="90" x14ac:dyDescent="0.25">
      <c r="A9" s="38" t="s">
        <v>227</v>
      </c>
      <c r="B9" s="39" t="s">
        <v>69</v>
      </c>
      <c r="C9" s="40" t="s">
        <v>228</v>
      </c>
      <c r="D9" s="19">
        <v>100</v>
      </c>
      <c r="E9" s="20">
        <v>249</v>
      </c>
      <c r="F9" s="21">
        <v>224</v>
      </c>
      <c r="G9" s="22">
        <f t="shared" si="0"/>
        <v>10</v>
      </c>
      <c r="H9" s="23">
        <f t="shared" si="1"/>
        <v>2.2400000000000002</v>
      </c>
      <c r="I9" s="24" t="s">
        <v>229</v>
      </c>
      <c r="J9" s="42" t="s">
        <v>78</v>
      </c>
      <c r="K9" s="42"/>
      <c r="L9" s="42"/>
      <c r="M9" s="43"/>
      <c r="N9" s="44" t="s">
        <v>79</v>
      </c>
      <c r="O9" s="45" t="s">
        <v>79</v>
      </c>
      <c r="P9" s="31" t="s">
        <v>51</v>
      </c>
      <c r="Q9" s="32">
        <v>100</v>
      </c>
      <c r="R9" s="33">
        <v>249</v>
      </c>
      <c r="S9" s="34">
        <v>224</v>
      </c>
      <c r="T9" s="35">
        <f t="shared" si="2"/>
        <v>10</v>
      </c>
      <c r="U9" s="36" t="s">
        <v>52</v>
      </c>
      <c r="V9" s="37" t="s">
        <v>53</v>
      </c>
    </row>
    <row r="10" spans="1:22" ht="78.75" x14ac:dyDescent="0.25">
      <c r="A10" s="16" t="s">
        <v>230</v>
      </c>
      <c r="B10" s="17" t="s">
        <v>231</v>
      </c>
      <c r="C10" s="18" t="s">
        <v>232</v>
      </c>
      <c r="D10" s="19">
        <v>150</v>
      </c>
      <c r="E10" s="20">
        <v>899</v>
      </c>
      <c r="F10" s="21">
        <v>854</v>
      </c>
      <c r="G10" s="22">
        <f t="shared" si="0"/>
        <v>5</v>
      </c>
      <c r="H10" s="23">
        <f t="shared" si="1"/>
        <v>5.69</v>
      </c>
      <c r="I10" s="24" t="s">
        <v>233</v>
      </c>
      <c r="J10" s="25" t="s">
        <v>51</v>
      </c>
      <c r="K10" s="26">
        <v>100</v>
      </c>
      <c r="L10" s="27">
        <v>625</v>
      </c>
      <c r="M10" s="28">
        <v>607</v>
      </c>
      <c r="N10" s="29">
        <f>ROUND((1-M10/L10)*100,1)</f>
        <v>2.9</v>
      </c>
      <c r="O10" s="30">
        <f>ROUND(M10/K10,2)</f>
        <v>6.07</v>
      </c>
      <c r="P10" s="42" t="s">
        <v>78</v>
      </c>
      <c r="Q10" s="42"/>
      <c r="R10" s="42"/>
      <c r="S10" s="43"/>
      <c r="T10" s="44" t="s">
        <v>79</v>
      </c>
      <c r="U10" s="36" t="s">
        <v>58</v>
      </c>
      <c r="V10" s="41" t="s">
        <v>59</v>
      </c>
    </row>
    <row r="11" spans="1:22" ht="67.5" x14ac:dyDescent="0.25">
      <c r="A11" s="38" t="s">
        <v>234</v>
      </c>
      <c r="B11" s="39" t="s">
        <v>235</v>
      </c>
      <c r="C11" s="40" t="s">
        <v>56</v>
      </c>
      <c r="D11" s="19">
        <v>88</v>
      </c>
      <c r="E11" s="20">
        <v>330</v>
      </c>
      <c r="F11" s="21">
        <v>297</v>
      </c>
      <c r="G11" s="22">
        <f t="shared" si="0"/>
        <v>10</v>
      </c>
      <c r="H11" s="23">
        <f t="shared" si="1"/>
        <v>3.38</v>
      </c>
      <c r="I11" s="24" t="s">
        <v>236</v>
      </c>
      <c r="J11" s="25" t="s">
        <v>51</v>
      </c>
      <c r="K11" s="26">
        <v>88</v>
      </c>
      <c r="L11" s="27">
        <v>330</v>
      </c>
      <c r="M11" s="28">
        <v>297</v>
      </c>
      <c r="N11" s="29">
        <f>ROUND((1-M11/L11)*100,1)</f>
        <v>10</v>
      </c>
      <c r="O11" s="30">
        <f>ROUND(M11/K11,2)</f>
        <v>3.38</v>
      </c>
      <c r="P11" s="31" t="s">
        <v>51</v>
      </c>
      <c r="Q11" s="32">
        <v>88</v>
      </c>
      <c r="R11" s="33">
        <v>330</v>
      </c>
      <c r="S11" s="34">
        <v>314</v>
      </c>
      <c r="T11" s="35">
        <f>ROUND((1-S11/R11)*100,1)</f>
        <v>4.8</v>
      </c>
      <c r="U11" s="36" t="s">
        <v>52</v>
      </c>
      <c r="V11" s="37" t="s">
        <v>53</v>
      </c>
    </row>
    <row r="12" spans="1:22" ht="78.75" x14ac:dyDescent="0.25">
      <c r="A12" s="16" t="s">
        <v>237</v>
      </c>
      <c r="B12" s="17" t="s">
        <v>238</v>
      </c>
      <c r="C12" s="18" t="s">
        <v>239</v>
      </c>
      <c r="D12" s="19">
        <v>75</v>
      </c>
      <c r="E12" s="20">
        <v>449</v>
      </c>
      <c r="F12" s="21">
        <v>382</v>
      </c>
      <c r="G12" s="22">
        <f t="shared" si="0"/>
        <v>14.9</v>
      </c>
      <c r="H12" s="23">
        <f t="shared" si="1"/>
        <v>5.09</v>
      </c>
      <c r="I12" s="24" t="s">
        <v>240</v>
      </c>
      <c r="J12" s="42" t="s">
        <v>78</v>
      </c>
      <c r="K12" s="42"/>
      <c r="L12" s="42"/>
      <c r="M12" s="43"/>
      <c r="N12" s="44" t="s">
        <v>79</v>
      </c>
      <c r="O12" s="45" t="s">
        <v>79</v>
      </c>
      <c r="P12" s="42" t="s">
        <v>78</v>
      </c>
      <c r="Q12" s="42"/>
      <c r="R12" s="42"/>
      <c r="S12" s="43"/>
      <c r="T12" s="44" t="s">
        <v>79</v>
      </c>
      <c r="U12" s="36" t="s">
        <v>52</v>
      </c>
      <c r="V12" s="37" t="s">
        <v>53</v>
      </c>
    </row>
    <row r="13" spans="1:22" ht="67.5" x14ac:dyDescent="0.25">
      <c r="A13" s="38" t="s">
        <v>241</v>
      </c>
      <c r="B13" s="39" t="s">
        <v>235</v>
      </c>
      <c r="C13" s="40" t="s">
        <v>242</v>
      </c>
      <c r="D13" s="19">
        <v>88</v>
      </c>
      <c r="E13" s="20">
        <v>559</v>
      </c>
      <c r="F13" s="21">
        <v>503</v>
      </c>
      <c r="G13" s="22">
        <f t="shared" si="0"/>
        <v>10</v>
      </c>
      <c r="H13" s="23">
        <f t="shared" si="1"/>
        <v>5.72</v>
      </c>
      <c r="I13" s="24" t="s">
        <v>243</v>
      </c>
      <c r="J13" s="25" t="s">
        <v>51</v>
      </c>
      <c r="K13" s="26">
        <v>88</v>
      </c>
      <c r="L13" s="27">
        <v>559</v>
      </c>
      <c r="M13" s="28">
        <v>502</v>
      </c>
      <c r="N13" s="29">
        <f>ROUND((1-M13/L13)*100,1)</f>
        <v>10.199999999999999</v>
      </c>
      <c r="O13" s="30">
        <f>ROUND(M13/K13,2)</f>
        <v>5.7</v>
      </c>
      <c r="P13" s="31" t="s">
        <v>51</v>
      </c>
      <c r="Q13" s="32">
        <v>88</v>
      </c>
      <c r="R13" s="33">
        <v>559</v>
      </c>
      <c r="S13" s="34">
        <v>531</v>
      </c>
      <c r="T13" s="35">
        <f>ROUND((1-S13/R13)*100,1)</f>
        <v>5</v>
      </c>
      <c r="U13" s="36" t="s">
        <v>58</v>
      </c>
      <c r="V13" s="37" t="s">
        <v>53</v>
      </c>
    </row>
  </sheetData>
  <mergeCells count="6">
    <mergeCell ref="A1:V1"/>
    <mergeCell ref="A2:C2"/>
    <mergeCell ref="D2:I2"/>
    <mergeCell ref="J2:O2"/>
    <mergeCell ref="P2:T2"/>
    <mergeCell ref="U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INDEX</vt:lpstr>
      <vt:lpstr>Moisturizers</vt:lpstr>
      <vt:lpstr>Kajal &amp; Eyeliner</vt:lpstr>
      <vt:lpstr>Shampoo</vt:lpstr>
      <vt:lpstr>Lip Care</vt:lpstr>
      <vt:lpstr>Face Wash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mohammed maaz</cp:lastModifiedBy>
  <cp:revision>0</cp:revision>
  <dcterms:created xsi:type="dcterms:W3CDTF">2026-07-02T07:28:03Z</dcterms:created>
  <dcterms:modified xsi:type="dcterms:W3CDTF">2026-07-03T06:15:42Z</dcterms:modified>
  <dc:language>en-US</dc:language>
</cp:coreProperties>
</file>